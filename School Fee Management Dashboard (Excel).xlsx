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hidePivotFieldList="1" defaultThemeVersion="166925"/>
  <mc:AlternateContent xmlns:mc="http://schemas.openxmlformats.org/markup-compatibility/2006">
    <mc:Choice Requires="x15">
      <x15ac:absPath xmlns:x15ac="http://schemas.microsoft.com/office/spreadsheetml/2010/11/ac" url="C:\Users\Onoruoyiza Sardauna\Desktop\Data Analysis\"/>
    </mc:Choice>
  </mc:AlternateContent>
  <xr:revisionPtr revIDLastSave="0" documentId="13_ncr:1_{0F97ACB9-5E5E-4C94-AEE0-090CEAF96941}" xr6:coauthVersionLast="47" xr6:coauthVersionMax="47" xr10:uidLastSave="{00000000-0000-0000-0000-000000000000}"/>
  <bookViews>
    <workbookView xWindow="-108" yWindow="-108" windowWidth="23256" windowHeight="12576" activeTab="5" xr2:uid="{673AD302-EA06-4ADE-B4B4-CC2FCECB9D0C}"/>
  </bookViews>
  <sheets>
    <sheet name="SS1" sheetId="2" r:id="rId1"/>
    <sheet name="SS2" sheetId="3" r:id="rId2"/>
    <sheet name="SS3" sheetId="4" r:id="rId3"/>
    <sheet name="Cleaned data" sheetId="5" r:id="rId4"/>
    <sheet name="Pivot Table" sheetId="10" r:id="rId5"/>
    <sheet name="School Fee Dashboard" sheetId="6" r:id="rId6"/>
  </sheets>
  <definedNames>
    <definedName name="Slicer_Class">#N/A</definedName>
  </definedNames>
  <calcPr calcId="191029"/>
  <pivotCaches>
    <pivotCache cacheId="0"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8" i="5" l="1"/>
  <c r="J2" i="5"/>
  <c r="J3" i="5"/>
  <c r="J4" i="5"/>
  <c r="J5" i="5"/>
  <c r="J6" i="5"/>
  <c r="J7" i="5"/>
  <c r="J9" i="5"/>
  <c r="J10" i="5"/>
  <c r="J11" i="5"/>
  <c r="J12" i="5"/>
  <c r="J13" i="5"/>
  <c r="J14" i="5"/>
  <c r="J15" i="5"/>
  <c r="J16" i="5"/>
  <c r="J17" i="5"/>
  <c r="J18" i="5"/>
  <c r="J19" i="5"/>
  <c r="J20" i="5"/>
  <c r="J21" i="5"/>
  <c r="J22" i="5"/>
  <c r="J23" i="5"/>
  <c r="J24" i="5"/>
  <c r="J25" i="5"/>
  <c r="J26" i="5"/>
  <c r="J27" i="5"/>
  <c r="J28" i="5"/>
  <c r="J29" i="5"/>
  <c r="J30" i="5"/>
  <c r="J31" i="5"/>
  <c r="J32" i="5"/>
  <c r="J33" i="5"/>
  <c r="J34" i="5"/>
  <c r="J35" i="5"/>
  <c r="J36" i="5"/>
  <c r="J37" i="5"/>
  <c r="J38" i="5"/>
  <c r="J39" i="5"/>
  <c r="J40" i="5"/>
  <c r="J41" i="5"/>
  <c r="J42" i="5"/>
  <c r="J43" i="5"/>
  <c r="J44" i="5"/>
  <c r="J45" i="5"/>
  <c r="J46" i="5"/>
  <c r="J47" i="5"/>
  <c r="J48" i="5"/>
  <c r="J49" i="5"/>
  <c r="J50" i="5"/>
  <c r="J51" i="5"/>
  <c r="I4" i="5"/>
  <c r="I2" i="5"/>
  <c r="I3" i="5"/>
  <c r="I5" i="5"/>
  <c r="I6" i="5"/>
  <c r="I7" i="5"/>
  <c r="I8" i="5"/>
  <c r="I9" i="5"/>
  <c r="I10" i="5"/>
  <c r="I11" i="5"/>
  <c r="I12" i="5"/>
  <c r="I13" i="5"/>
  <c r="I14" i="5"/>
  <c r="I15" i="5"/>
  <c r="I16" i="5"/>
  <c r="I17" i="5"/>
  <c r="I18" i="5"/>
  <c r="I19" i="5"/>
  <c r="I20" i="5"/>
  <c r="I21" i="5"/>
  <c r="I22" i="5"/>
  <c r="I23" i="5"/>
  <c r="I24" i="5"/>
  <c r="I25" i="5"/>
  <c r="I26" i="5"/>
  <c r="I27" i="5"/>
  <c r="I28" i="5"/>
  <c r="I29" i="5"/>
  <c r="I30" i="5"/>
  <c r="I31" i="5"/>
  <c r="I32" i="5"/>
  <c r="I33" i="5"/>
  <c r="I34" i="5"/>
  <c r="I35" i="5"/>
  <c r="I36" i="5"/>
  <c r="I37" i="5"/>
  <c r="I38" i="5"/>
  <c r="I39" i="5"/>
  <c r="I40" i="5"/>
  <c r="I41" i="5"/>
  <c r="I42" i="5"/>
  <c r="I43" i="5"/>
  <c r="I44" i="5"/>
  <c r="I45" i="5"/>
  <c r="I46" i="5"/>
  <c r="I47" i="5"/>
  <c r="I48" i="5"/>
  <c r="I49" i="5"/>
  <c r="I50" i="5"/>
  <c r="I51" i="5"/>
</calcChain>
</file>

<file path=xl/sharedStrings.xml><?xml version="1.0" encoding="utf-8"?>
<sst xmlns="http://schemas.openxmlformats.org/spreadsheetml/2006/main" count="646" uniqueCount="80">
  <si>
    <t>Name</t>
  </si>
  <si>
    <t>Gender</t>
  </si>
  <si>
    <t>Class</t>
  </si>
  <si>
    <t>Session</t>
  </si>
  <si>
    <t>Term</t>
  </si>
  <si>
    <t>Amount Paid</t>
  </si>
  <si>
    <t>Total Fee</t>
  </si>
  <si>
    <t>ID</t>
  </si>
  <si>
    <t>Status</t>
  </si>
  <si>
    <t>Musa Bello</t>
  </si>
  <si>
    <t>M</t>
  </si>
  <si>
    <t>SS1</t>
  </si>
  <si>
    <t>2025/2026</t>
  </si>
  <si>
    <t>First</t>
  </si>
  <si>
    <t>Paid</t>
  </si>
  <si>
    <t>Amina Usman</t>
  </si>
  <si>
    <t>F</t>
  </si>
  <si>
    <t>Deposit</t>
  </si>
  <si>
    <t>John David</t>
  </si>
  <si>
    <t>SS2</t>
  </si>
  <si>
    <t>Unpaid</t>
  </si>
  <si>
    <t>Fatima Aliyu</t>
  </si>
  <si>
    <t>Ibrahim Sadiq</t>
  </si>
  <si>
    <t>SS3</t>
  </si>
  <si>
    <t>Zainab Garba</t>
  </si>
  <si>
    <t>Abdul Musa</t>
  </si>
  <si>
    <t>Mary John</t>
  </si>
  <si>
    <t>Yusuf Lawal</t>
  </si>
  <si>
    <t>Blessing Peter</t>
  </si>
  <si>
    <t>Sani Abdullahi</t>
  </si>
  <si>
    <t>Esther Daniel</t>
  </si>
  <si>
    <t>Aliyu Umar</t>
  </si>
  <si>
    <t>Deborah James</t>
  </si>
  <si>
    <t>Kabiru Bello</t>
  </si>
  <si>
    <t>Grace Michael</t>
  </si>
  <si>
    <t>Bashir Ahmed</t>
  </si>
  <si>
    <t>Halima Abubakar</t>
  </si>
  <si>
    <t>Ibrahim Musa</t>
  </si>
  <si>
    <t>Sarah Yusuf</t>
  </si>
  <si>
    <t>Sadiq Lawal</t>
  </si>
  <si>
    <t>Ruth John</t>
  </si>
  <si>
    <t>Abdullahi Sani</t>
  </si>
  <si>
    <t>Victoria Musa</t>
  </si>
  <si>
    <t>Ahmed Sule</t>
  </si>
  <si>
    <t>Janet Philip</t>
  </si>
  <si>
    <t>Usman Garba</t>
  </si>
  <si>
    <t>Maryam Bello</t>
  </si>
  <si>
    <t>Nasiru Ali</t>
  </si>
  <si>
    <t>Grace Musa</t>
  </si>
  <si>
    <t>Bala Ibrahim</t>
  </si>
  <si>
    <t>Lydia Daniel</t>
  </si>
  <si>
    <t>Umar Farouk</t>
  </si>
  <si>
    <t>Patience John</t>
  </si>
  <si>
    <t>Sadiq Abubakar</t>
  </si>
  <si>
    <t>Comfort Peter</t>
  </si>
  <si>
    <t>Musa Yakubu</t>
  </si>
  <si>
    <t>Aisha Mohammed</t>
  </si>
  <si>
    <t>Sani Lawal</t>
  </si>
  <si>
    <t>Blessing James</t>
  </si>
  <si>
    <t>Ibrahim Ali</t>
  </si>
  <si>
    <t>Zainab Musa</t>
  </si>
  <si>
    <t>Kabiru Ahmed</t>
  </si>
  <si>
    <t>Esther Philip</t>
  </si>
  <si>
    <t>Abdullahi Bello</t>
  </si>
  <si>
    <t>Mary Ibrahim</t>
  </si>
  <si>
    <t>Musa Sadiq</t>
  </si>
  <si>
    <t>Grace Abdullahi</t>
  </si>
  <si>
    <t>Yusuf Mohammed</t>
  </si>
  <si>
    <t>Ruth Musa</t>
  </si>
  <si>
    <t>Balance</t>
  </si>
  <si>
    <t>Second</t>
  </si>
  <si>
    <t>Row Labels</t>
  </si>
  <si>
    <t>Grand Total</t>
  </si>
  <si>
    <t>Sum of Amount Paid</t>
  </si>
  <si>
    <t>Sum of Balance</t>
  </si>
  <si>
    <t>Count of ID</t>
  </si>
  <si>
    <t>Gender Distribution</t>
  </si>
  <si>
    <t>Distribution of Students</t>
  </si>
  <si>
    <t>Payment status</t>
  </si>
  <si>
    <t>amount paid by class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</si>
</sst>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68]\ #,##0.00;\-[$₦-468]\ #,##0.00"/>
    <numFmt numFmtId="165" formatCode="_-[$₦-466]\ * #,##0.00_-;\-[$₦-466]\ * #,##0.00_-;_-[$₦-466]\ * &quot;-&quot;??_-;_-@_-"/>
  </numFmts>
  <fonts count="3" x14ac:knownFonts="1">
    <font>
      <sz val="11"/>
      <color theme="1"/>
      <name val="Calibri"/>
      <family val="2"/>
      <scheme val="minor"/>
    </font>
    <font>
      <b/>
      <sz val="11"/>
      <color theme="1"/>
      <name val="Calibri"/>
      <family val="2"/>
      <scheme val="minor"/>
    </font>
    <font>
      <b/>
      <sz val="13.5"/>
      <color theme="1"/>
      <name val="Calibri"/>
      <family val="2"/>
      <scheme val="minor"/>
    </font>
  </fonts>
  <fills count="3">
    <fill>
      <patternFill patternType="none"/>
    </fill>
    <fill>
      <patternFill patternType="gray125"/>
    </fill>
    <fill>
      <patternFill patternType="solid">
        <fgColor theme="7" tint="0.59999389629810485"/>
        <bgColor indexed="64"/>
      </patternFill>
    </fill>
  </fills>
  <borders count="1">
    <border>
      <left/>
      <right/>
      <top/>
      <bottom/>
      <diagonal/>
    </border>
  </borders>
  <cellStyleXfs count="1">
    <xf numFmtId="0" fontId="0" fillId="0" borderId="0"/>
  </cellStyleXfs>
  <cellXfs count="21">
    <xf numFmtId="0" fontId="0" fillId="0" borderId="0" xfId="0"/>
    <xf numFmtId="0" fontId="0" fillId="0" borderId="0" xfId="0" applyAlignment="1">
      <alignment vertical="center" wrapText="1"/>
    </xf>
    <xf numFmtId="0" fontId="0" fillId="0" borderId="0" xfId="0" applyAlignment="1"/>
    <xf numFmtId="0" fontId="0" fillId="0" borderId="0" xfId="0" applyAlignment="1">
      <alignment horizontal="left"/>
    </xf>
    <xf numFmtId="0" fontId="2" fillId="0" borderId="0" xfId="0" applyFont="1" applyAlignment="1">
      <alignment vertical="center"/>
    </xf>
    <xf numFmtId="0" fontId="0" fillId="0" borderId="0" xfId="0" applyAlignment="1">
      <alignment horizontal="left" vertical="center" indent="1"/>
    </xf>
    <xf numFmtId="0" fontId="0" fillId="0" borderId="0" xfId="0" applyAlignment="1">
      <alignment horizontal="center" vertical="center" wrapText="1"/>
    </xf>
    <xf numFmtId="0" fontId="1" fillId="0" borderId="0" xfId="0" applyFont="1" applyAlignment="1">
      <alignment horizontal="center" vertical="center" wrapText="1"/>
    </xf>
    <xf numFmtId="0" fontId="2" fillId="0" borderId="0" xfId="0" applyFont="1" applyAlignment="1">
      <alignment vertical="center" wrapText="1"/>
    </xf>
    <xf numFmtId="0" fontId="0" fillId="0" borderId="0" xfId="0" applyAlignment="1">
      <alignment horizontal="center"/>
    </xf>
    <xf numFmtId="0" fontId="1" fillId="0" borderId="0" xfId="0" applyFont="1" applyAlignment="1">
      <alignment horizontal="left" wrapText="1"/>
    </xf>
    <xf numFmtId="0" fontId="0" fillId="0" borderId="0" xfId="0" applyAlignment="1">
      <alignment horizontal="left" wrapText="1"/>
    </xf>
    <xf numFmtId="0" fontId="0" fillId="0" borderId="0" xfId="0" pivotButton="1"/>
    <xf numFmtId="0" fontId="0" fillId="0" borderId="0" xfId="0" applyAlignment="1">
      <alignment horizontal="left" indent="1"/>
    </xf>
    <xf numFmtId="0" fontId="0" fillId="0" borderId="0" xfId="0" applyAlignment="1">
      <alignment horizontal="left" indent="2"/>
    </xf>
    <xf numFmtId="0" fontId="0" fillId="0" borderId="0" xfId="0" applyNumberFormat="1"/>
    <xf numFmtId="164" fontId="1" fillId="0" borderId="0" xfId="0" applyNumberFormat="1" applyFont="1" applyAlignment="1">
      <alignment horizontal="center" vertical="center" wrapText="1"/>
    </xf>
    <xf numFmtId="164" fontId="0" fillId="0" borderId="0" xfId="0" applyNumberFormat="1" applyAlignment="1">
      <alignment horizontal="center" vertical="center" wrapText="1"/>
    </xf>
    <xf numFmtId="164" fontId="0" fillId="0" borderId="0" xfId="0" applyNumberFormat="1" applyAlignment="1">
      <alignment horizontal="center"/>
    </xf>
    <xf numFmtId="165" fontId="0" fillId="0" borderId="0" xfId="0" applyNumberFormat="1"/>
    <xf numFmtId="0" fontId="1" fillId="2" borderId="0" xfId="0" applyFont="1" applyFill="1" applyAlignment="1">
      <alignment horizontal="center"/>
    </xf>
  </cellXfs>
  <cellStyles count="1">
    <cellStyle name="Normal" xfId="0" builtinId="0"/>
  </cellStyles>
  <dxfs count="57">
    <dxf>
      <numFmt numFmtId="165" formatCode="_-[$₦-466]\ * #,##0.00_-;\-[$₦-466]\ * #,##0.00_-;_-[$₦-466]\ * &quot;-&quot;??_-;_-@_-"/>
    </dxf>
    <dxf>
      <numFmt numFmtId="165" formatCode="_-[$₦-466]\ * #,##0.00_-;\-[$₦-466]\ * #,##0.00_-;_-[$₦-466]\ * &quot;-&quot;??_-;_-@_-"/>
    </dxf>
    <dxf>
      <numFmt numFmtId="165" formatCode="_-[$₦-466]\ * #,##0.00_-;\-[$₦-466]\ * #,##0.00_-;_-[$₦-466]\ * &quot;-&quot;??_-;_-@_-"/>
    </dxf>
    <dxf>
      <numFmt numFmtId="165" formatCode="_-[$₦-466]\ * #,##0.00_-;\-[$₦-466]\ * #,##0.00_-;_-[$₦-466]\ * &quot;-&quot;??_-;_-@_-"/>
    </dxf>
    <dxf>
      <numFmt numFmtId="0" formatCode="General"/>
      <alignment horizontal="center" vertical="center" textRotation="0" wrapText="1" indent="0" justifyLastLine="0" shrinkToFit="0" readingOrder="0"/>
    </dxf>
    <dxf>
      <numFmt numFmtId="164" formatCode="[$₦-468]\ #,##0.00;\-[$₦-468]\ #,##0.00"/>
      <alignment horizontal="center" vertical="center" textRotation="0" wrapText="1" indent="0" justifyLastLine="0" shrinkToFit="0" readingOrder="0"/>
    </dxf>
    <dxf>
      <numFmt numFmtId="164" formatCode="[$₦-468]\ #,##0.00;\-[$₦-468]\ #,##0.00"/>
      <alignment horizontal="center" vertical="center" textRotation="0" wrapText="1" indent="0" justifyLastLine="0" shrinkToFit="0" readingOrder="0"/>
    </dxf>
    <dxf>
      <numFmt numFmtId="164" formatCode="[$₦-468]\ #,##0.00;\-[$₦-468]\ #,##0.00"/>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left" vertical="bottom" textRotation="0" wrapText="1" indent="0" justifyLastLine="0" shrinkToFit="0" readingOrder="0"/>
    </dxf>
    <dxf>
      <alignment horizontal="center" textRotation="0" indent="0" justifyLastLine="0" shrinkToFit="0" readingOrder="0"/>
    </dxf>
    <dxf>
      <alignment horizontal="center"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ont>
        <b/>
        <i val="0"/>
      </font>
      <fill>
        <patternFill>
          <bgColor rgb="FF92D050"/>
        </patternFill>
      </fill>
    </dxf>
    <dxf>
      <fill>
        <patternFill>
          <bgColor rgb="FFFF5151"/>
        </patternFill>
      </fill>
    </dxf>
    <dxf>
      <fill>
        <patternFill>
          <bgColor theme="7" tint="0.39994506668294322"/>
        </patternFill>
      </fill>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s>
  <tableStyles count="0" defaultTableStyle="TableStyleMedium2" defaultPivotStyle="PivotStyleLight16"/>
  <colors>
    <mruColors>
      <color rgb="FFFF5151"/>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GB" b="1">
                <a:solidFill>
                  <a:schemeClr val="accent6">
                    <a:lumMod val="75000"/>
                  </a:schemeClr>
                </a:solidFill>
                <a:latin typeface="Times New Roman" panose="02020603050405020304" pitchFamily="18" charset="0"/>
                <a:cs typeface="Times New Roman" panose="02020603050405020304" pitchFamily="18" charset="0"/>
              </a:rPr>
              <a:t>Gender</a:t>
            </a:r>
            <a:r>
              <a:rPr lang="en-GB" b="1" baseline="0">
                <a:solidFill>
                  <a:schemeClr val="accent6">
                    <a:lumMod val="75000"/>
                  </a:schemeClr>
                </a:solidFill>
                <a:latin typeface="Times New Roman" panose="02020603050405020304" pitchFamily="18" charset="0"/>
                <a:cs typeface="Times New Roman" panose="02020603050405020304" pitchFamily="18" charset="0"/>
              </a:rPr>
              <a:t> Distribution</a:t>
            </a:r>
            <a:endParaRPr lang="en-GB" b="1">
              <a:solidFill>
                <a:schemeClr val="accent6">
                  <a:lumMod val="75000"/>
                </a:schemeClr>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6">
              <a:lumMod val="75000"/>
            </a:schemeClr>
          </a:solidFill>
          <a:ln w="19050">
            <a:solidFill>
              <a:schemeClr val="lt1"/>
            </a:solidFill>
          </a:ln>
          <a:effectLst/>
        </c:spPr>
      </c:pivotFmt>
      <c:pivotFmt>
        <c:idx val="6"/>
        <c:spPr>
          <a:solidFill>
            <a:schemeClr val="accent2"/>
          </a:solidFill>
          <a:ln w="19050">
            <a:solidFill>
              <a:schemeClr val="accent2"/>
            </a:solidFill>
          </a:ln>
          <a:effectLst/>
        </c:spPr>
      </c:pivotFmt>
    </c:pivotFmts>
    <c:plotArea>
      <c:layout/>
      <c:doughnutChart>
        <c:varyColors val="1"/>
        <c:ser>
          <c:idx val="0"/>
          <c:order val="0"/>
          <c:tx>
            <c:v>Total</c:v>
          </c:tx>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5E11-4EA3-9723-A73403D178C8}"/>
              </c:ext>
            </c:extLst>
          </c:dPt>
          <c:dPt>
            <c:idx val="1"/>
            <c:bubble3D val="0"/>
            <c:spPr>
              <a:solidFill>
                <a:schemeClr val="accent2"/>
              </a:solidFill>
              <a:ln w="19050">
                <a:solidFill>
                  <a:schemeClr val="accent2"/>
                </a:solidFill>
              </a:ln>
              <a:effectLst/>
            </c:spPr>
            <c:extLst>
              <c:ext xmlns:c16="http://schemas.microsoft.com/office/drawing/2014/chart" uri="{C3380CC4-5D6E-409C-BE32-E72D297353CC}">
                <c16:uniqueId val="{00000003-5E11-4EA3-9723-A73403D178C8}"/>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2"/>
              <c:pt idx="0">
                <c:v>F</c:v>
              </c:pt>
              <c:pt idx="1">
                <c:v>M</c:v>
              </c:pt>
            </c:strLit>
          </c:cat>
          <c:val>
            <c:numLit>
              <c:formatCode>General</c:formatCode>
              <c:ptCount val="2"/>
              <c:pt idx="0">
                <c:v>25</c:v>
              </c:pt>
              <c:pt idx="1">
                <c:v>25</c:v>
              </c:pt>
            </c:numLit>
          </c:val>
          <c:extLst>
            <c:ext xmlns:c16="http://schemas.microsoft.com/office/drawing/2014/chart" uri="{C3380CC4-5D6E-409C-BE32-E72D297353CC}">
              <c16:uniqueId val="{00000004-5E11-4EA3-9723-A73403D178C8}"/>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2700"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[School Fee Management Dashboard (Excel).xlsx]Pivot Table!PivotTable14</c:name>
    <c:fmtId val="28"/>
  </c:pivotSource>
  <c:chart>
    <c:title>
      <c:tx>
        <c:rich>
          <a:bodyPr rot="0" spcFirstLastPara="1" vertOverflow="ellipsis" vert="horz" wrap="square" anchor="ctr" anchorCtr="1"/>
          <a:lstStyle/>
          <a:p>
            <a:pPr>
              <a:defRPr sz="1600" b="1" i="0" u="none" strike="noStrike" kern="1200" spc="0" baseline="0">
                <a:solidFill>
                  <a:schemeClr val="accent6">
                    <a:lumMod val="50000"/>
                  </a:schemeClr>
                </a:solidFill>
                <a:latin typeface="Times New Roman" panose="02020603050405020304" pitchFamily="18" charset="0"/>
                <a:ea typeface="+mn-ea"/>
                <a:cs typeface="Times New Roman" panose="02020603050405020304" pitchFamily="18" charset="0"/>
              </a:defRPr>
            </a:pPr>
            <a:r>
              <a:rPr lang="en-US" sz="1600" b="1">
                <a:solidFill>
                  <a:schemeClr val="accent6">
                    <a:lumMod val="50000"/>
                  </a:schemeClr>
                </a:solidFill>
                <a:latin typeface="Times New Roman" panose="02020603050405020304" pitchFamily="18" charset="0"/>
                <a:cs typeface="Times New Roman" panose="02020603050405020304" pitchFamily="18" charset="0"/>
              </a:rPr>
              <a:t>Payment Status</a:t>
            </a:r>
          </a:p>
        </c:rich>
      </c:tx>
      <c:overlay val="0"/>
      <c:spPr>
        <a:noFill/>
        <a:ln>
          <a:solidFill>
            <a:srgbClr val="FFC000"/>
          </a:solidFill>
        </a:ln>
        <a:effectLst/>
      </c:spPr>
      <c:txPr>
        <a:bodyPr rot="0" spcFirstLastPara="1" vertOverflow="ellipsis" vert="horz" wrap="square" anchor="ctr" anchorCtr="1"/>
        <a:lstStyle/>
        <a:p>
          <a:pPr>
            <a:defRPr sz="1600" b="1" i="0" u="none" strike="noStrike" kern="1200" spc="0" baseline="0">
              <a:solidFill>
                <a:schemeClr val="accent6">
                  <a:lumMod val="50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2">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20000"/>
              <a:lumOff val="80000"/>
            </a:schemeClr>
          </a:solidFill>
          <a:ln>
            <a:noFill/>
          </a:ln>
          <a:effectLst/>
        </c:spPr>
      </c:pivotFmt>
      <c:pivotFmt>
        <c:idx val="2"/>
        <c:spPr>
          <a:solidFill>
            <a:schemeClr val="accent2">
              <a:lumMod val="20000"/>
              <a:lumOff val="80000"/>
            </a:schemeClr>
          </a:solidFill>
          <a:ln>
            <a:noFill/>
          </a:ln>
          <a:effectLst/>
        </c:spPr>
      </c:pivotFmt>
      <c:pivotFmt>
        <c:idx val="3"/>
        <c:spPr>
          <a:solidFill>
            <a:schemeClr val="accent2">
              <a:lumMod val="20000"/>
              <a:lumOff val="80000"/>
            </a:schemeClr>
          </a:solidFill>
          <a:ln>
            <a:noFill/>
          </a:ln>
          <a:effectLst/>
        </c:spPr>
      </c:pivotFmt>
      <c:pivotFmt>
        <c:idx val="4"/>
        <c:spPr>
          <a:solidFill>
            <a:schemeClr val="accent2">
              <a:lumMod val="20000"/>
              <a:lumOff val="80000"/>
            </a:schemeClr>
          </a:solidFill>
          <a:ln>
            <a:noFill/>
          </a:ln>
          <a:effectLst/>
        </c:spPr>
      </c:pivotFmt>
      <c:pivotFmt>
        <c:idx val="5"/>
        <c:spPr>
          <a:solidFill>
            <a:schemeClr val="accent2">
              <a:lumMod val="20000"/>
              <a:lumOff val="80000"/>
            </a:schemeClr>
          </a:solidFill>
          <a:ln>
            <a:noFill/>
          </a:ln>
          <a:effectLst/>
        </c:spPr>
      </c:pivotFmt>
      <c:pivotFmt>
        <c:idx val="6"/>
        <c:spPr>
          <a:solidFill>
            <a:schemeClr val="accent2">
              <a:lumMod val="20000"/>
              <a:lumOff val="80000"/>
            </a:schemeClr>
          </a:solidFill>
          <a:ln>
            <a:noFill/>
          </a:ln>
          <a:effectLst/>
        </c:spPr>
      </c:pivotFmt>
      <c:pivotFmt>
        <c:idx val="7"/>
        <c:spPr>
          <a:solidFill>
            <a:schemeClr val="accent2">
              <a:lumMod val="20000"/>
              <a:lumOff val="80000"/>
            </a:schemeClr>
          </a:solidFill>
          <a:ln>
            <a:noFill/>
          </a:ln>
          <a:effectLst/>
        </c:spPr>
      </c:pivotFmt>
      <c:pivotFmt>
        <c:idx val="8"/>
        <c:spPr>
          <a:solidFill>
            <a:schemeClr val="accent2">
              <a:lumMod val="20000"/>
              <a:lumOff val="80000"/>
            </a:schemeClr>
          </a:solidFill>
          <a:ln>
            <a:noFill/>
          </a:ln>
          <a:effectLst/>
        </c:spPr>
      </c:pivotFmt>
      <c:pivotFmt>
        <c:idx val="9"/>
        <c:spPr>
          <a:solidFill>
            <a:schemeClr val="accent2">
              <a:lumMod val="20000"/>
              <a:lumOff val="80000"/>
            </a:schemeClr>
          </a:solidFill>
          <a:ln>
            <a:noFill/>
          </a:ln>
          <a:effectLst/>
        </c:spPr>
      </c:pivotFmt>
      <c:pivotFmt>
        <c:idx val="10"/>
        <c:spPr>
          <a:solidFill>
            <a:schemeClr val="accent2">
              <a:lumMod val="20000"/>
              <a:lumOff val="80000"/>
            </a:schemeClr>
          </a:solidFill>
          <a:ln>
            <a:noFill/>
          </a:ln>
          <a:effectLst/>
        </c:spPr>
      </c:pivotFmt>
      <c:pivotFmt>
        <c:idx val="11"/>
        <c:spPr>
          <a:solidFill>
            <a:schemeClr val="accent2">
              <a:lumMod val="20000"/>
              <a:lumOff val="80000"/>
            </a:schemeClr>
          </a:solidFill>
          <a:ln>
            <a:noFill/>
          </a:ln>
          <a:effectLst/>
        </c:spPr>
      </c:pivotFmt>
      <c:pivotFmt>
        <c:idx val="12"/>
        <c:spPr>
          <a:solidFill>
            <a:schemeClr val="accent2">
              <a:lumMod val="20000"/>
              <a:lumOff val="80000"/>
            </a:schemeClr>
          </a:solidFill>
          <a:ln>
            <a:noFill/>
          </a:ln>
          <a:effectLst/>
        </c:spPr>
      </c:pivotFmt>
      <c:pivotFmt>
        <c:idx val="13"/>
        <c:spPr>
          <a:solidFill>
            <a:schemeClr val="accent2">
              <a:lumMod val="20000"/>
              <a:lumOff val="80000"/>
            </a:schemeClr>
          </a:solidFill>
          <a:ln>
            <a:noFill/>
          </a:ln>
          <a:effectLst/>
        </c:spPr>
      </c:pivotFmt>
      <c:pivotFmt>
        <c:idx val="14"/>
        <c:spPr>
          <a:solidFill>
            <a:schemeClr val="accent2">
              <a:lumMod val="20000"/>
              <a:lumOff val="80000"/>
            </a:schemeClr>
          </a:solidFill>
          <a:ln>
            <a:noFill/>
          </a:ln>
          <a:effectLst/>
        </c:spPr>
      </c:pivotFmt>
      <c:pivotFmt>
        <c:idx val="15"/>
        <c:spPr>
          <a:solidFill>
            <a:schemeClr val="accent2">
              <a:lumMod val="20000"/>
              <a:lumOff val="80000"/>
            </a:schemeClr>
          </a:solidFill>
          <a:ln>
            <a:noFill/>
          </a:ln>
          <a:effectLst/>
        </c:spPr>
      </c:pivotFmt>
      <c:pivotFmt>
        <c:idx val="16"/>
        <c:spPr>
          <a:solidFill>
            <a:schemeClr val="accent2">
              <a:lumMod val="20000"/>
              <a:lumOff val="80000"/>
            </a:schemeClr>
          </a:solidFill>
          <a:ln>
            <a:noFill/>
          </a:ln>
          <a:effectLst/>
        </c:spPr>
      </c:pivotFmt>
      <c:pivotFmt>
        <c:idx val="17"/>
        <c:spPr>
          <a:solidFill>
            <a:schemeClr val="accent2">
              <a:lumMod val="20000"/>
              <a:lumOff val="80000"/>
            </a:schemeClr>
          </a:solidFill>
          <a:ln>
            <a:noFill/>
          </a:ln>
          <a:effectLst/>
        </c:spPr>
      </c:pivotFmt>
      <c:pivotFmt>
        <c:idx val="18"/>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6">
              <a:lumMod val="60000"/>
              <a:lumOff val="40000"/>
            </a:schemeClr>
          </a:solidFill>
          <a:ln>
            <a:noFill/>
          </a:ln>
          <a:effectLst/>
        </c:spPr>
      </c:pivotFmt>
      <c:pivotFmt>
        <c:idx val="20"/>
        <c:spPr>
          <a:solidFill>
            <a:schemeClr val="accent6">
              <a:lumMod val="60000"/>
              <a:lumOff val="40000"/>
            </a:schemeClr>
          </a:solidFill>
          <a:ln>
            <a:noFill/>
          </a:ln>
          <a:effectLst/>
        </c:spPr>
      </c:pivotFmt>
      <c:pivotFmt>
        <c:idx val="21"/>
        <c:spPr>
          <a:solidFill>
            <a:schemeClr val="accent6">
              <a:lumMod val="60000"/>
              <a:lumOff val="40000"/>
            </a:schemeClr>
          </a:solidFill>
          <a:ln>
            <a:noFill/>
          </a:ln>
          <a:effectLst/>
        </c:spPr>
      </c:pivotFmt>
      <c:pivotFmt>
        <c:idx val="22"/>
        <c:spPr>
          <a:solidFill>
            <a:schemeClr val="accent6">
              <a:lumMod val="60000"/>
              <a:lumOff val="40000"/>
            </a:schemeClr>
          </a:solidFill>
          <a:ln>
            <a:noFill/>
          </a:ln>
          <a:effectLst/>
        </c:spPr>
      </c:pivotFmt>
      <c:pivotFmt>
        <c:idx val="23"/>
        <c:spPr>
          <a:solidFill>
            <a:schemeClr val="accent6">
              <a:lumMod val="60000"/>
              <a:lumOff val="40000"/>
            </a:schemeClr>
          </a:solidFill>
          <a:ln>
            <a:noFill/>
          </a:ln>
          <a:effectLst/>
        </c:spPr>
      </c:pivotFmt>
      <c:pivotFmt>
        <c:idx val="24"/>
        <c:spPr>
          <a:solidFill>
            <a:schemeClr val="accent6">
              <a:lumMod val="60000"/>
              <a:lumOff val="40000"/>
            </a:schemeClr>
          </a:solidFill>
          <a:ln>
            <a:noFill/>
          </a:ln>
          <a:effectLst/>
        </c:spPr>
      </c:pivotFmt>
      <c:pivotFmt>
        <c:idx val="25"/>
        <c:spPr>
          <a:solidFill>
            <a:schemeClr val="accent6">
              <a:lumMod val="60000"/>
              <a:lumOff val="40000"/>
            </a:schemeClr>
          </a:solidFill>
          <a:ln>
            <a:noFill/>
          </a:ln>
          <a:effectLst/>
        </c:spPr>
      </c:pivotFmt>
      <c:pivotFmt>
        <c:idx val="26"/>
        <c:spPr>
          <a:solidFill>
            <a:schemeClr val="accent6">
              <a:lumMod val="60000"/>
              <a:lumOff val="40000"/>
            </a:schemeClr>
          </a:solidFill>
          <a:ln>
            <a:noFill/>
          </a:ln>
          <a:effectLst/>
        </c:spPr>
      </c:pivotFmt>
      <c:pivotFmt>
        <c:idx val="27"/>
        <c:spPr>
          <a:solidFill>
            <a:schemeClr val="accent2">
              <a:lumMod val="60000"/>
              <a:lumOff val="40000"/>
            </a:schemeClr>
          </a:solidFill>
          <a:ln>
            <a:noFill/>
          </a:ln>
          <a:effectLst/>
        </c:spPr>
      </c:pivotFmt>
      <c:pivotFmt>
        <c:idx val="28"/>
        <c:spPr>
          <a:solidFill>
            <a:schemeClr val="accent2">
              <a:lumMod val="60000"/>
              <a:lumOff val="40000"/>
            </a:schemeClr>
          </a:solidFill>
          <a:ln>
            <a:noFill/>
          </a:ln>
          <a:effectLst/>
        </c:spPr>
      </c:pivotFmt>
      <c:pivotFmt>
        <c:idx val="29"/>
        <c:spPr>
          <a:solidFill>
            <a:schemeClr val="accent2">
              <a:lumMod val="60000"/>
              <a:lumOff val="40000"/>
            </a:schemeClr>
          </a:solidFill>
          <a:ln>
            <a:noFill/>
          </a:ln>
          <a:effectLst/>
        </c:spPr>
      </c:pivotFmt>
      <c:pivotFmt>
        <c:idx val="30"/>
        <c:spPr>
          <a:solidFill>
            <a:schemeClr val="accent2">
              <a:lumMod val="60000"/>
              <a:lumOff val="40000"/>
            </a:schemeClr>
          </a:solidFill>
          <a:ln>
            <a:noFill/>
          </a:ln>
          <a:effectLst/>
        </c:spPr>
      </c:pivotFmt>
      <c:pivotFmt>
        <c:idx val="31"/>
        <c:spPr>
          <a:solidFill>
            <a:schemeClr val="accent2">
              <a:lumMod val="60000"/>
              <a:lumOff val="40000"/>
            </a:schemeClr>
          </a:solidFill>
          <a:ln>
            <a:noFill/>
          </a:ln>
          <a:effectLst/>
        </c:spPr>
      </c:pivotFmt>
      <c:pivotFmt>
        <c:idx val="32"/>
        <c:spPr>
          <a:solidFill>
            <a:schemeClr val="accent2">
              <a:lumMod val="60000"/>
              <a:lumOff val="40000"/>
            </a:schemeClr>
          </a:solidFill>
          <a:ln>
            <a:noFill/>
          </a:ln>
          <a:effectLst/>
        </c:spPr>
      </c:pivotFmt>
      <c:pivotFmt>
        <c:idx val="33"/>
        <c:spPr>
          <a:solidFill>
            <a:schemeClr val="accent2">
              <a:lumMod val="60000"/>
              <a:lumOff val="40000"/>
            </a:schemeClr>
          </a:solidFill>
          <a:ln>
            <a:noFill/>
          </a:ln>
          <a:effectLst/>
        </c:spPr>
      </c:pivotFmt>
      <c:pivotFmt>
        <c:idx val="34"/>
        <c:spPr>
          <a:solidFill>
            <a:schemeClr val="accent2">
              <a:lumMod val="60000"/>
              <a:lumOff val="40000"/>
            </a:schemeClr>
          </a:solidFill>
          <a:ln>
            <a:noFill/>
          </a:ln>
          <a:effectLst/>
        </c:spPr>
      </c:pivotFmt>
      <c:pivotFmt>
        <c:idx val="35"/>
        <c:spPr>
          <a:solidFill>
            <a:schemeClr val="accent2">
              <a:lumMod val="60000"/>
              <a:lumOff val="40000"/>
            </a:schemeClr>
          </a:solidFill>
          <a:ln>
            <a:noFill/>
          </a:ln>
          <a:effectLst/>
        </c:spPr>
      </c:pivotFmt>
    </c:pivotFmts>
    <c:plotArea>
      <c:layout>
        <c:manualLayout>
          <c:layoutTarget val="inner"/>
          <c:xMode val="edge"/>
          <c:yMode val="edge"/>
          <c:x val="0.24429827106992461"/>
          <c:y val="9.7835718157815707E-2"/>
          <c:w val="0.75039416166043338"/>
          <c:h val="0.84075999018347747"/>
        </c:manualLayout>
      </c:layout>
      <c:barChart>
        <c:barDir val="bar"/>
        <c:grouping val="stacked"/>
        <c:varyColors val="0"/>
        <c:ser>
          <c:idx val="0"/>
          <c:order val="0"/>
          <c:tx>
            <c:strRef>
              <c:f>'Pivot Table'!$H$2</c:f>
              <c:strCache>
                <c:ptCount val="1"/>
                <c:pt idx="0">
                  <c:v>Total</c:v>
                </c:pt>
              </c:strCache>
            </c:strRef>
          </c:tx>
          <c:spPr>
            <a:solidFill>
              <a:schemeClr val="accent6">
                <a:lumMod val="60000"/>
                <a:lumOff val="40000"/>
              </a:schemeClr>
            </a:solidFill>
            <a:ln>
              <a:noFill/>
            </a:ln>
            <a:effectLst/>
          </c:spPr>
          <c:invertIfNegative val="0"/>
          <c:dPt>
            <c:idx val="3"/>
            <c:invertIfNegative val="0"/>
            <c:bubble3D val="0"/>
            <c:extLst>
              <c:ext xmlns:c16="http://schemas.microsoft.com/office/drawing/2014/chart" uri="{C3380CC4-5D6E-409C-BE32-E72D297353CC}">
                <c16:uniqueId val="{00000001-9D7D-4EAF-872E-13B0E8C9AA9C}"/>
              </c:ext>
            </c:extLst>
          </c:dPt>
          <c:dPt>
            <c:idx val="4"/>
            <c:invertIfNegative val="0"/>
            <c:bubble3D val="0"/>
            <c:extLst>
              <c:ext xmlns:c16="http://schemas.microsoft.com/office/drawing/2014/chart" uri="{C3380CC4-5D6E-409C-BE32-E72D297353CC}">
                <c16:uniqueId val="{00000003-9D7D-4EAF-872E-13B0E8C9AA9C}"/>
              </c:ext>
            </c:extLst>
          </c:dPt>
          <c:dPt>
            <c:idx val="5"/>
            <c:invertIfNegative val="0"/>
            <c:bubble3D val="0"/>
            <c:extLst>
              <c:ext xmlns:c16="http://schemas.microsoft.com/office/drawing/2014/chart" uri="{C3380CC4-5D6E-409C-BE32-E72D297353CC}">
                <c16:uniqueId val="{00000005-9D7D-4EAF-872E-13B0E8C9AA9C}"/>
              </c:ext>
            </c:extLst>
          </c:dPt>
          <c:dPt>
            <c:idx val="8"/>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8-C6E4-4D45-AC45-4EEA4AD25F72}"/>
              </c:ext>
            </c:extLst>
          </c:dPt>
          <c:dPt>
            <c:idx val="9"/>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9-C6E4-4D45-AC45-4EEA4AD25F72}"/>
              </c:ext>
            </c:extLst>
          </c:dPt>
          <c:dPt>
            <c:idx val="10"/>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A-C6E4-4D45-AC45-4EEA4AD25F72}"/>
              </c:ext>
            </c:extLst>
          </c:dPt>
          <c:dPt>
            <c:idx val="11"/>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B-C6E4-4D45-AC45-4EEA4AD25F72}"/>
              </c:ext>
            </c:extLst>
          </c:dPt>
          <c:dPt>
            <c:idx val="12"/>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C-C6E4-4D45-AC45-4EEA4AD25F72}"/>
              </c:ext>
            </c:extLst>
          </c:dPt>
          <c:dPt>
            <c:idx val="13"/>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D-C6E4-4D45-AC45-4EEA4AD25F72}"/>
              </c:ext>
            </c:extLst>
          </c:dPt>
          <c:dPt>
            <c:idx val="14"/>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E-C6E4-4D45-AC45-4EEA4AD25F72}"/>
              </c:ext>
            </c:extLst>
          </c:dPt>
          <c:dPt>
            <c:idx val="15"/>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F-C6E4-4D45-AC45-4EEA4AD25F72}"/>
              </c:ext>
            </c:extLst>
          </c:dPt>
          <c:dPt>
            <c:idx val="16"/>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10-C6E4-4D45-AC45-4EEA4AD25F72}"/>
              </c:ext>
            </c:extLst>
          </c:dPt>
          <c:dLbls>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Table'!$G$3:$G$28</c:f>
              <c:multiLvlStrCache>
                <c:ptCount val="17"/>
                <c:lvl>
                  <c:pt idx="0">
                    <c:v>SS1</c:v>
                  </c:pt>
                  <c:pt idx="1">
                    <c:v>SS2</c:v>
                  </c:pt>
                  <c:pt idx="2">
                    <c:v>SS3</c:v>
                  </c:pt>
                  <c:pt idx="3">
                    <c:v>SS1</c:v>
                  </c:pt>
                  <c:pt idx="4">
                    <c:v>SS2</c:v>
                  </c:pt>
                  <c:pt idx="5">
                    <c:v>SS3</c:v>
                  </c:pt>
                  <c:pt idx="6">
                    <c:v>SS1</c:v>
                  </c:pt>
                  <c:pt idx="7">
                    <c:v>SS3</c:v>
                  </c:pt>
                  <c:pt idx="8">
                    <c:v>SS1</c:v>
                  </c:pt>
                  <c:pt idx="9">
                    <c:v>SS2</c:v>
                  </c:pt>
                  <c:pt idx="10">
                    <c:v>SS3</c:v>
                  </c:pt>
                  <c:pt idx="11">
                    <c:v>SS1</c:v>
                  </c:pt>
                  <c:pt idx="12">
                    <c:v>SS2</c:v>
                  </c:pt>
                  <c:pt idx="13">
                    <c:v>SS3</c:v>
                  </c:pt>
                  <c:pt idx="14">
                    <c:v>SS1</c:v>
                  </c:pt>
                  <c:pt idx="15">
                    <c:v>SS2</c:v>
                  </c:pt>
                  <c:pt idx="16">
                    <c:v>SS3</c:v>
                  </c:pt>
                </c:lvl>
                <c:lvl>
                  <c:pt idx="0">
                    <c:v>Deposit</c:v>
                  </c:pt>
                  <c:pt idx="3">
                    <c:v>Paid</c:v>
                  </c:pt>
                  <c:pt idx="6">
                    <c:v>Unpaid</c:v>
                  </c:pt>
                  <c:pt idx="8">
                    <c:v>Deposit</c:v>
                  </c:pt>
                  <c:pt idx="11">
                    <c:v>Paid</c:v>
                  </c:pt>
                  <c:pt idx="14">
                    <c:v>Unpaid</c:v>
                  </c:pt>
                </c:lvl>
                <c:lvl>
                  <c:pt idx="0">
                    <c:v>F</c:v>
                  </c:pt>
                  <c:pt idx="8">
                    <c:v>M</c:v>
                  </c:pt>
                </c:lvl>
              </c:multiLvlStrCache>
            </c:multiLvlStrRef>
          </c:cat>
          <c:val>
            <c:numRef>
              <c:f>'Pivot Table'!$H$3:$H$28</c:f>
              <c:numCache>
                <c:formatCode>General</c:formatCode>
                <c:ptCount val="17"/>
                <c:pt idx="0">
                  <c:v>3</c:v>
                </c:pt>
                <c:pt idx="1">
                  <c:v>2</c:v>
                </c:pt>
                <c:pt idx="2">
                  <c:v>2</c:v>
                </c:pt>
                <c:pt idx="3">
                  <c:v>5</c:v>
                </c:pt>
                <c:pt idx="4">
                  <c:v>6</c:v>
                </c:pt>
                <c:pt idx="5">
                  <c:v>5</c:v>
                </c:pt>
                <c:pt idx="6">
                  <c:v>1</c:v>
                </c:pt>
                <c:pt idx="7">
                  <c:v>1</c:v>
                </c:pt>
                <c:pt idx="8">
                  <c:v>2</c:v>
                </c:pt>
                <c:pt idx="9">
                  <c:v>3</c:v>
                </c:pt>
                <c:pt idx="10">
                  <c:v>3</c:v>
                </c:pt>
                <c:pt idx="11">
                  <c:v>6</c:v>
                </c:pt>
                <c:pt idx="12">
                  <c:v>4</c:v>
                </c:pt>
                <c:pt idx="13">
                  <c:v>4</c:v>
                </c:pt>
                <c:pt idx="14">
                  <c:v>1</c:v>
                </c:pt>
                <c:pt idx="15">
                  <c:v>1</c:v>
                </c:pt>
                <c:pt idx="16">
                  <c:v>1</c:v>
                </c:pt>
              </c:numCache>
            </c:numRef>
          </c:val>
          <c:extLst>
            <c:ext xmlns:c16="http://schemas.microsoft.com/office/drawing/2014/chart" uri="{C3380CC4-5D6E-409C-BE32-E72D297353CC}">
              <c16:uniqueId val="{00000011-C6E4-4D45-AC45-4EEA4AD25F72}"/>
            </c:ext>
          </c:extLst>
        </c:ser>
        <c:dLbls>
          <c:dLblPos val="inEnd"/>
          <c:showLegendKey val="0"/>
          <c:showVal val="1"/>
          <c:showCatName val="0"/>
          <c:showSerName val="0"/>
          <c:showPercent val="0"/>
          <c:showBubbleSize val="0"/>
        </c:dLbls>
        <c:gapWidth val="150"/>
        <c:overlap val="100"/>
        <c:axId val="2003542655"/>
        <c:axId val="2003540159"/>
      </c:barChart>
      <c:catAx>
        <c:axId val="2003542655"/>
        <c:scaling>
          <c:orientation val="minMax"/>
        </c:scaling>
        <c:delete val="0"/>
        <c:axPos val="l"/>
        <c:numFmt formatCode="General" sourceLinked="1"/>
        <c:majorTickMark val="none"/>
        <c:minorTickMark val="none"/>
        <c:tickLblPos val="nextTo"/>
        <c:spPr>
          <a:noFill/>
          <a:ln w="12700" cap="sq" cmpd="dbl" algn="ctr">
            <a:solidFill>
              <a:schemeClr val="accent6">
                <a:lumMod val="50000"/>
                <a:alpha val="8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2003540159"/>
        <c:crosses val="autoZero"/>
        <c:auto val="1"/>
        <c:lblAlgn val="ctr"/>
        <c:lblOffset val="100"/>
        <c:noMultiLvlLbl val="0"/>
      </c:catAx>
      <c:valAx>
        <c:axId val="20035401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2003542655"/>
        <c:crosses val="autoZero"/>
        <c:crossBetween val="between"/>
      </c:valAx>
      <c:spPr>
        <a:noFill/>
        <a:ln w="12700">
          <a:solidFill>
            <a:schemeClr val="accent2">
              <a:lumMod val="20000"/>
              <a:lumOff val="8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9050" cap="flat" cmpd="sng" algn="ctr">
      <a:solidFill>
        <a:schemeClr val="tx1"/>
      </a:solidFill>
      <a:round/>
    </a:ln>
    <a:effectLst/>
  </c:spPr>
  <c:txPr>
    <a:bodyPr/>
    <a:lstStyle/>
    <a:p>
      <a:pPr>
        <a:defRPr sz="900">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accent6">
                    <a:lumMod val="75000"/>
                  </a:schemeClr>
                </a:solidFill>
                <a:latin typeface="Times New Roman" panose="02020603050405020304" pitchFamily="18" charset="0"/>
                <a:ea typeface="+mn-ea"/>
                <a:cs typeface="Times New Roman" panose="02020603050405020304" pitchFamily="18" charset="0"/>
              </a:defRPr>
            </a:pPr>
            <a:r>
              <a:rPr lang="en-US" sz="1600">
                <a:solidFill>
                  <a:schemeClr val="accent6">
                    <a:lumMod val="75000"/>
                  </a:schemeClr>
                </a:solidFill>
              </a:rPr>
              <a:t>Total Amount Paid by Class</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accent6">
                  <a:lumMod val="7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layout>
            <c:manualLayout>
              <c:x val="-6.093766404199475E-2"/>
              <c:y val="-8.5613517060367544E-2"/>
            </c:manualLayout>
          </c:layout>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layout>
            <c:manualLayout>
              <c:x val="-6.093766404199475E-2"/>
              <c:y val="-8.5613517060367544E-2"/>
            </c:manualLayout>
          </c:layout>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92D050"/>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6.093766404199475E-2"/>
              <c:y val="-8.5613517060367544E-2"/>
            </c:manualLayout>
          </c:layout>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356589147286822"/>
          <c:y val="0.42654744428132918"/>
          <c:w val="0.81818161748473028"/>
          <c:h val="0.47847146225365889"/>
        </c:manualLayout>
      </c:layout>
      <c:lineChart>
        <c:grouping val="standard"/>
        <c:varyColors val="0"/>
        <c:ser>
          <c:idx val="0"/>
          <c:order val="0"/>
          <c:tx>
            <c:v>Total</c:v>
          </c:tx>
          <c:spPr>
            <a:ln w="28575" cap="rnd">
              <a:solidFill>
                <a:srgbClr val="92D050"/>
              </a:solidFill>
              <a:round/>
            </a:ln>
            <a:effectLst/>
          </c:spPr>
          <c:marker>
            <c:symbol val="none"/>
          </c:marker>
          <c:dLbls>
            <c:dLbl>
              <c:idx val="2"/>
              <c:layout>
                <c:manualLayout>
                  <c:x val="-6.093766404199475E-2"/>
                  <c:y val="-8.561351706036754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E40-43BA-9A1B-DAD6FAB8778F}"/>
                </c:ext>
              </c:extLst>
            </c:dLbl>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SS1</c:v>
              </c:pt>
              <c:pt idx="1">
                <c:v>SS2</c:v>
              </c:pt>
              <c:pt idx="2">
                <c:v>SS3</c:v>
              </c:pt>
            </c:strLit>
          </c:cat>
          <c:val>
            <c:numLit>
              <c:formatCode>General</c:formatCode>
              <c:ptCount val="3"/>
              <c:pt idx="0">
                <c:v>612000</c:v>
              </c:pt>
              <c:pt idx="1">
                <c:v>615000</c:v>
              </c:pt>
              <c:pt idx="2">
                <c:v>565000</c:v>
              </c:pt>
            </c:numLit>
          </c:val>
          <c:smooth val="0"/>
          <c:extLst>
            <c:ext xmlns:c16="http://schemas.microsoft.com/office/drawing/2014/chart" uri="{C3380CC4-5D6E-409C-BE32-E72D297353CC}">
              <c16:uniqueId val="{00000001-2E40-43BA-9A1B-DAD6FAB8778F}"/>
            </c:ext>
          </c:extLst>
        </c:ser>
        <c:dLbls>
          <c:dLblPos val="t"/>
          <c:showLegendKey val="0"/>
          <c:showVal val="1"/>
          <c:showCatName val="0"/>
          <c:showSerName val="0"/>
          <c:showPercent val="0"/>
          <c:showBubbleSize val="0"/>
        </c:dLbls>
        <c:smooth val="0"/>
        <c:axId val="77903487"/>
        <c:axId val="77897247"/>
      </c:lineChart>
      <c:catAx>
        <c:axId val="779034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6">
                    <a:lumMod val="75000"/>
                  </a:schemeClr>
                </a:solidFill>
                <a:latin typeface="Times New Roman" panose="02020603050405020304" pitchFamily="18" charset="0"/>
                <a:ea typeface="+mn-ea"/>
                <a:cs typeface="Times New Roman" panose="02020603050405020304" pitchFamily="18" charset="0"/>
              </a:defRPr>
            </a:pPr>
            <a:endParaRPr lang="en-US"/>
          </a:p>
        </c:txPr>
        <c:crossAx val="77897247"/>
        <c:crosses val="autoZero"/>
        <c:auto val="1"/>
        <c:lblAlgn val="ctr"/>
        <c:lblOffset val="100"/>
        <c:noMultiLvlLbl val="0"/>
      </c:catAx>
      <c:valAx>
        <c:axId val="77897247"/>
        <c:scaling>
          <c:orientation val="minMax"/>
        </c:scaling>
        <c:delete val="1"/>
        <c:axPos val="l"/>
        <c:numFmt formatCode="General" sourceLinked="1"/>
        <c:majorTickMark val="out"/>
        <c:minorTickMark val="none"/>
        <c:tickLblPos val="nextTo"/>
        <c:crossAx val="779034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8575" cap="flat" cmpd="sng" algn="ctr">
      <a:solidFill>
        <a:schemeClr val="tx1"/>
      </a:solidFill>
      <a:round/>
    </a:ln>
    <a:effectLst/>
  </c:spPr>
  <c:txPr>
    <a:bodyPr/>
    <a:lstStyle/>
    <a:p>
      <a:pPr>
        <a:defRPr b="1">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[School Fee Management Dashboard (Excel).xlsx]Pivot Table!PivotTable11</c:name>
    <c:fmtId val="30"/>
  </c:pivotSource>
  <c:chart>
    <c:title>
      <c:tx>
        <c:rich>
          <a:bodyPr rot="0" spcFirstLastPara="1" vertOverflow="ellipsis" vert="horz" wrap="square" anchor="ctr" anchorCtr="1"/>
          <a:lstStyle/>
          <a:p>
            <a:pPr>
              <a:defRPr sz="1600" b="1" i="0" u="none" strike="noStrike" kern="1200" spc="0" baseline="0">
                <a:solidFill>
                  <a:schemeClr val="accent6">
                    <a:lumMod val="75000"/>
                  </a:schemeClr>
                </a:solidFill>
                <a:latin typeface="Times New Roman" panose="02020603050405020304" pitchFamily="18" charset="0"/>
                <a:ea typeface="+mn-ea"/>
                <a:cs typeface="Times New Roman" panose="02020603050405020304" pitchFamily="18" charset="0"/>
              </a:defRPr>
            </a:pPr>
            <a:r>
              <a:rPr lang="en-US" sz="1600" b="1">
                <a:solidFill>
                  <a:schemeClr val="accent6">
                    <a:lumMod val="75000"/>
                  </a:schemeClr>
                </a:solidFill>
                <a:latin typeface="Times New Roman" panose="02020603050405020304" pitchFamily="18" charset="0"/>
                <a:cs typeface="Times New Roman" panose="02020603050405020304" pitchFamily="18" charset="0"/>
              </a:rPr>
              <a:t>Distribution</a:t>
            </a:r>
            <a:r>
              <a:rPr lang="en-US" sz="1600" b="1" baseline="0">
                <a:solidFill>
                  <a:schemeClr val="accent6">
                    <a:lumMod val="75000"/>
                  </a:schemeClr>
                </a:solidFill>
                <a:latin typeface="Times New Roman" panose="02020603050405020304" pitchFamily="18" charset="0"/>
                <a:cs typeface="Times New Roman" panose="02020603050405020304" pitchFamily="18" charset="0"/>
              </a:rPr>
              <a:t> of Students by Class</a:t>
            </a:r>
            <a:endParaRPr lang="en-US" sz="1600" b="1">
              <a:solidFill>
                <a:schemeClr val="accent6">
                  <a:lumMod val="75000"/>
                </a:schemeClr>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accent6">
                  <a:lumMod val="7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pivotFmt>
      <c:pivotFmt>
        <c:idx val="2"/>
        <c:spPr>
          <a:solidFill>
            <a:schemeClr val="accent2">
              <a:lumMod val="60000"/>
              <a:lumOff val="40000"/>
            </a:schemeClr>
          </a:solidFill>
          <a:ln>
            <a:noFill/>
          </a:ln>
          <a:effectLst/>
        </c:spPr>
      </c:pivotFmt>
      <c:pivotFmt>
        <c:idx val="3"/>
        <c:spPr>
          <a:solidFill>
            <a:schemeClr val="accent2">
              <a:lumMod val="60000"/>
              <a:lumOff val="40000"/>
            </a:schemeClr>
          </a:solidFill>
          <a:ln>
            <a:noFill/>
          </a:ln>
          <a:effectLst/>
        </c:spPr>
      </c:pivotFmt>
      <c:pivotFmt>
        <c:idx val="4"/>
        <c:spPr>
          <a:solidFill>
            <a:srgbClr val="92D050"/>
          </a:solidFill>
          <a:ln>
            <a:noFill/>
          </a:ln>
          <a:effectLst/>
        </c:spPr>
      </c:pivotFmt>
      <c:pivotFmt>
        <c:idx val="5"/>
        <c:spPr>
          <a:solidFill>
            <a:srgbClr val="92D050"/>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c:spPr>
      </c:pivotFmt>
      <c:pivotFmt>
        <c:idx val="8"/>
        <c:spPr>
          <a:solidFill>
            <a:schemeClr val="accent2">
              <a:lumMod val="60000"/>
              <a:lumOff val="40000"/>
            </a:schemeClr>
          </a:solidFill>
          <a:ln>
            <a:noFill/>
          </a:ln>
          <a:effectLst/>
        </c:spPr>
      </c:pivotFmt>
      <c:pivotFmt>
        <c:idx val="9"/>
        <c:spPr>
          <a:solidFill>
            <a:srgbClr val="92D050"/>
          </a:solidFill>
          <a:ln>
            <a:noFill/>
          </a:ln>
          <a:effectLst/>
        </c:spPr>
      </c:pivotFmt>
      <c:pivotFmt>
        <c:idx val="10"/>
        <c:spPr>
          <a:solidFill>
            <a:schemeClr val="accent2">
              <a:lumMod val="60000"/>
              <a:lumOff val="40000"/>
            </a:schemeClr>
          </a:solidFill>
          <a:ln>
            <a:noFill/>
          </a:ln>
          <a:effectLst/>
        </c:spPr>
      </c:pivotFmt>
      <c:pivotFmt>
        <c:idx val="11"/>
        <c:spPr>
          <a:solidFill>
            <a:srgbClr val="92D050"/>
          </a:solidFill>
          <a:ln>
            <a:noFill/>
          </a:ln>
          <a:effectLst/>
        </c:spPr>
      </c:pivotFmt>
      <c:pivotFmt>
        <c:idx val="12"/>
        <c:spPr>
          <a:solidFill>
            <a:schemeClr val="accent2">
              <a:lumMod val="60000"/>
              <a:lumOff val="40000"/>
            </a:schemeClr>
          </a:solidFill>
          <a:ln>
            <a:noFill/>
          </a:ln>
          <a:effectLst/>
        </c:spPr>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92D050"/>
          </a:solidFill>
          <a:ln>
            <a:noFill/>
          </a:ln>
          <a:effectLst/>
        </c:spPr>
      </c:pivotFmt>
      <c:pivotFmt>
        <c:idx val="15"/>
        <c:spPr>
          <a:solidFill>
            <a:schemeClr val="accent2">
              <a:lumMod val="60000"/>
              <a:lumOff val="40000"/>
            </a:schemeClr>
          </a:solidFill>
          <a:ln>
            <a:noFill/>
          </a:ln>
          <a:effectLst/>
        </c:spPr>
      </c:pivotFmt>
      <c:pivotFmt>
        <c:idx val="16"/>
        <c:spPr>
          <a:solidFill>
            <a:srgbClr val="92D050"/>
          </a:solidFill>
          <a:ln>
            <a:noFill/>
          </a:ln>
          <a:effectLst/>
        </c:spPr>
      </c:pivotFmt>
      <c:pivotFmt>
        <c:idx val="17"/>
        <c:spPr>
          <a:solidFill>
            <a:schemeClr val="accent2">
              <a:lumMod val="60000"/>
              <a:lumOff val="40000"/>
            </a:schemeClr>
          </a:solidFill>
          <a:ln>
            <a:noFill/>
          </a:ln>
          <a:effectLst/>
        </c:spPr>
      </c:pivotFmt>
      <c:pivotFmt>
        <c:idx val="18"/>
        <c:spPr>
          <a:solidFill>
            <a:srgbClr val="92D050"/>
          </a:solidFill>
          <a:ln>
            <a:noFill/>
          </a:ln>
          <a:effectLst/>
        </c:spPr>
      </c:pivotFmt>
      <c:pivotFmt>
        <c:idx val="19"/>
        <c:spPr>
          <a:solidFill>
            <a:schemeClr val="accent2">
              <a:lumMod val="60000"/>
              <a:lumOff val="40000"/>
            </a:schemeClr>
          </a:solidFill>
          <a:ln>
            <a:noFill/>
          </a:ln>
          <a:effectLst/>
        </c:spPr>
      </c:pivotFmt>
    </c:pivotFmts>
    <c:plotArea>
      <c:layout>
        <c:manualLayout>
          <c:layoutTarget val="inner"/>
          <c:xMode val="edge"/>
          <c:yMode val="edge"/>
          <c:x val="1.5634771732332707E-2"/>
          <c:y val="0.20645161290322581"/>
          <c:w val="0.93120700437773607"/>
          <c:h val="0.59396071458809585"/>
        </c:manualLayout>
      </c:layout>
      <c:barChart>
        <c:barDir val="col"/>
        <c:grouping val="clustered"/>
        <c:varyColors val="0"/>
        <c:ser>
          <c:idx val="0"/>
          <c:order val="0"/>
          <c:tx>
            <c:strRef>
              <c:f>'Pivot Table'!$B$2</c:f>
              <c:strCache>
                <c:ptCount val="1"/>
                <c:pt idx="0">
                  <c:v>Total</c:v>
                </c:pt>
              </c:strCache>
            </c:strRef>
          </c:tx>
          <c:spPr>
            <a:solidFill>
              <a:schemeClr val="accent1"/>
            </a:solidFill>
            <a:ln>
              <a:noFill/>
            </a:ln>
            <a:effectLst/>
          </c:spPr>
          <c:invertIfNegative val="0"/>
          <c:dPt>
            <c:idx val="0"/>
            <c:invertIfNegative val="0"/>
            <c:bubble3D val="0"/>
            <c:spPr>
              <a:solidFill>
                <a:srgbClr val="92D050"/>
              </a:solidFill>
              <a:ln>
                <a:noFill/>
              </a:ln>
              <a:effectLst/>
            </c:spPr>
            <c:extLst>
              <c:ext xmlns:c16="http://schemas.microsoft.com/office/drawing/2014/chart" uri="{C3380CC4-5D6E-409C-BE32-E72D297353CC}">
                <c16:uniqueId val="{00000001-4F12-4F85-880B-9C862454DA6B}"/>
              </c:ext>
            </c:extLst>
          </c:dPt>
          <c:dPt>
            <c:idx val="1"/>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3-4F12-4F85-880B-9C862454DA6B}"/>
              </c:ext>
            </c:extLst>
          </c:dPt>
          <c:dPt>
            <c:idx val="2"/>
            <c:invertIfNegative val="0"/>
            <c:bubble3D val="0"/>
            <c:spPr>
              <a:solidFill>
                <a:srgbClr val="92D050"/>
              </a:solidFill>
              <a:ln>
                <a:noFill/>
              </a:ln>
              <a:effectLst/>
            </c:spPr>
            <c:extLst>
              <c:ext xmlns:c16="http://schemas.microsoft.com/office/drawing/2014/chart" uri="{C3380CC4-5D6E-409C-BE32-E72D297353CC}">
                <c16:uniqueId val="{00000005-4F12-4F85-880B-9C862454DA6B}"/>
              </c:ext>
            </c:extLst>
          </c:dPt>
          <c:dPt>
            <c:idx val="3"/>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7-4F12-4F85-880B-9C862454DA6B}"/>
              </c:ext>
            </c:extLst>
          </c:dPt>
          <c:dPt>
            <c:idx val="4"/>
            <c:invertIfNegative val="0"/>
            <c:bubble3D val="0"/>
            <c:spPr>
              <a:solidFill>
                <a:srgbClr val="92D050"/>
              </a:solidFill>
              <a:ln>
                <a:noFill/>
              </a:ln>
              <a:effectLst/>
            </c:spPr>
            <c:extLst>
              <c:ext xmlns:c16="http://schemas.microsoft.com/office/drawing/2014/chart" uri="{C3380CC4-5D6E-409C-BE32-E72D297353CC}">
                <c16:uniqueId val="{00000009-4F12-4F85-880B-9C862454DA6B}"/>
              </c:ext>
            </c:extLst>
          </c:dPt>
          <c:dPt>
            <c:idx val="5"/>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B-4F12-4F85-880B-9C862454DA6B}"/>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Table'!$A$3:$A$12</c:f>
              <c:multiLvlStrCache>
                <c:ptCount val="6"/>
                <c:lvl>
                  <c:pt idx="0">
                    <c:v>F</c:v>
                  </c:pt>
                  <c:pt idx="1">
                    <c:v>M</c:v>
                  </c:pt>
                  <c:pt idx="2">
                    <c:v>F</c:v>
                  </c:pt>
                  <c:pt idx="3">
                    <c:v>M</c:v>
                  </c:pt>
                  <c:pt idx="4">
                    <c:v>F</c:v>
                  </c:pt>
                  <c:pt idx="5">
                    <c:v>M</c:v>
                  </c:pt>
                </c:lvl>
                <c:lvl>
                  <c:pt idx="0">
                    <c:v>SS1</c:v>
                  </c:pt>
                  <c:pt idx="2">
                    <c:v>SS2</c:v>
                  </c:pt>
                  <c:pt idx="4">
                    <c:v>SS3</c:v>
                  </c:pt>
                </c:lvl>
              </c:multiLvlStrCache>
            </c:multiLvlStrRef>
          </c:cat>
          <c:val>
            <c:numRef>
              <c:f>'Pivot Table'!$B$3:$B$12</c:f>
              <c:numCache>
                <c:formatCode>General</c:formatCode>
                <c:ptCount val="6"/>
                <c:pt idx="0">
                  <c:v>9</c:v>
                </c:pt>
                <c:pt idx="1">
                  <c:v>9</c:v>
                </c:pt>
                <c:pt idx="2">
                  <c:v>8</c:v>
                </c:pt>
                <c:pt idx="3">
                  <c:v>8</c:v>
                </c:pt>
                <c:pt idx="4">
                  <c:v>8</c:v>
                </c:pt>
                <c:pt idx="5">
                  <c:v>8</c:v>
                </c:pt>
              </c:numCache>
            </c:numRef>
          </c:val>
          <c:extLst>
            <c:ext xmlns:c16="http://schemas.microsoft.com/office/drawing/2014/chart" uri="{C3380CC4-5D6E-409C-BE32-E72D297353CC}">
              <c16:uniqueId val="{0000000C-4F12-4F85-880B-9C862454DA6B}"/>
            </c:ext>
          </c:extLst>
        </c:ser>
        <c:dLbls>
          <c:showLegendKey val="0"/>
          <c:showVal val="1"/>
          <c:showCatName val="0"/>
          <c:showSerName val="0"/>
          <c:showPercent val="0"/>
          <c:showBubbleSize val="0"/>
        </c:dLbls>
        <c:gapWidth val="150"/>
        <c:overlap val="-25"/>
        <c:axId val="1953905375"/>
        <c:axId val="1953904127"/>
      </c:barChart>
      <c:catAx>
        <c:axId val="1953905375"/>
        <c:scaling>
          <c:orientation val="minMax"/>
        </c:scaling>
        <c:delete val="0"/>
        <c:axPos val="b"/>
        <c:numFmt formatCode="General" sourceLinked="1"/>
        <c:majorTickMark val="none"/>
        <c:minorTickMark val="none"/>
        <c:tickLblPos val="nextTo"/>
        <c:spPr>
          <a:solidFill>
            <a:sysClr val="window" lastClr="FFFFFF"/>
          </a:solidFill>
          <a:ln w="9525" cap="flat" cmpd="sng" algn="ctr">
            <a:solidFill>
              <a:schemeClr val="accent2"/>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953904127"/>
        <c:crosses val="autoZero"/>
        <c:auto val="1"/>
        <c:lblAlgn val="ctr"/>
        <c:lblOffset val="100"/>
        <c:noMultiLvlLbl val="0"/>
      </c:catAx>
      <c:valAx>
        <c:axId val="1953904127"/>
        <c:scaling>
          <c:orientation val="minMax"/>
        </c:scaling>
        <c:delete val="1"/>
        <c:axPos val="l"/>
        <c:numFmt formatCode="General" sourceLinked="1"/>
        <c:majorTickMark val="none"/>
        <c:minorTickMark val="none"/>
        <c:tickLblPos val="nextTo"/>
        <c:crossAx val="19539053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9050"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510540</xdr:colOff>
      <xdr:row>2</xdr:row>
      <xdr:rowOff>45720</xdr:rowOff>
    </xdr:from>
    <xdr:to>
      <xdr:col>7</xdr:col>
      <xdr:colOff>251460</xdr:colOff>
      <xdr:row>12</xdr:row>
      <xdr:rowOff>0</xdr:rowOff>
    </xdr:to>
    <xdr:graphicFrame macro="">
      <xdr:nvGraphicFramePr>
        <xdr:cNvPr id="5" name="Chart 4">
          <a:extLst>
            <a:ext uri="{FF2B5EF4-FFF2-40B4-BE49-F238E27FC236}">
              <a16:creationId xmlns:a16="http://schemas.microsoft.com/office/drawing/2014/main" id="{AA55B779-F861-4D06-8502-A6623ED154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358140</xdr:colOff>
      <xdr:row>0</xdr:row>
      <xdr:rowOff>144780</xdr:rowOff>
    </xdr:from>
    <xdr:to>
      <xdr:col>19</xdr:col>
      <xdr:colOff>411480</xdr:colOff>
      <xdr:row>28</xdr:row>
      <xdr:rowOff>152400</xdr:rowOff>
    </xdr:to>
    <xdr:graphicFrame macro="">
      <xdr:nvGraphicFramePr>
        <xdr:cNvPr id="8" name="Chart 8">
          <a:extLst>
            <a:ext uri="{FF2B5EF4-FFF2-40B4-BE49-F238E27FC236}">
              <a16:creationId xmlns:a16="http://schemas.microsoft.com/office/drawing/2014/main" id="{3EE7322F-1B76-47FB-A88A-A298B02ACE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388620</xdr:colOff>
      <xdr:row>15</xdr:row>
      <xdr:rowOff>167640</xdr:rowOff>
    </xdr:from>
    <xdr:to>
      <xdr:col>14</xdr:col>
      <xdr:colOff>198120</xdr:colOff>
      <xdr:row>28</xdr:row>
      <xdr:rowOff>38100</xdr:rowOff>
    </xdr:to>
    <xdr:graphicFrame macro="">
      <xdr:nvGraphicFramePr>
        <xdr:cNvPr id="10" name="Chart 9">
          <a:extLst>
            <a:ext uri="{FF2B5EF4-FFF2-40B4-BE49-F238E27FC236}">
              <a16:creationId xmlns:a16="http://schemas.microsoft.com/office/drawing/2014/main" id="{7A100836-2651-42D1-A710-ED85969362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403860</xdr:colOff>
      <xdr:row>2</xdr:row>
      <xdr:rowOff>53340</xdr:rowOff>
    </xdr:from>
    <xdr:to>
      <xdr:col>14</xdr:col>
      <xdr:colOff>198120</xdr:colOff>
      <xdr:row>15</xdr:row>
      <xdr:rowOff>38100</xdr:rowOff>
    </xdr:to>
    <xdr:graphicFrame macro="">
      <xdr:nvGraphicFramePr>
        <xdr:cNvPr id="11" name="Chart 10">
          <a:extLst>
            <a:ext uri="{FF2B5EF4-FFF2-40B4-BE49-F238E27FC236}">
              <a16:creationId xmlns:a16="http://schemas.microsoft.com/office/drawing/2014/main" id="{83027DA7-AF26-4C35-A790-4721321CA4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434340</xdr:colOff>
      <xdr:row>13</xdr:row>
      <xdr:rowOff>7620</xdr:rowOff>
    </xdr:from>
    <xdr:to>
      <xdr:col>6</xdr:col>
      <xdr:colOff>312420</xdr:colOff>
      <xdr:row>19</xdr:row>
      <xdr:rowOff>114300</xdr:rowOff>
    </xdr:to>
    <mc:AlternateContent xmlns:mc="http://schemas.openxmlformats.org/markup-compatibility/2006">
      <mc:Choice xmlns:a14="http://schemas.microsoft.com/office/drawing/2010/main" Requires="a14">
        <xdr:graphicFrame macro="">
          <xdr:nvGraphicFramePr>
            <xdr:cNvPr id="15" name="Class">
              <a:extLst>
                <a:ext uri="{FF2B5EF4-FFF2-40B4-BE49-F238E27FC236}">
                  <a16:creationId xmlns:a16="http://schemas.microsoft.com/office/drawing/2014/main" id="{C19837E8-1768-4054-819F-4FAB09178E91}"/>
                </a:ext>
              </a:extLst>
            </xdr:cNvPr>
            <xdr:cNvGraphicFramePr/>
          </xdr:nvGraphicFramePr>
          <xdr:xfrm>
            <a:off x="0" y="0"/>
            <a:ext cx="0" cy="0"/>
          </xdr:xfrm>
          <a:graphic>
            <a:graphicData uri="http://schemas.microsoft.com/office/drawing/2010/slicer">
              <sle:slicer xmlns:sle="http://schemas.microsoft.com/office/drawing/2010/slicer" name="Class"/>
            </a:graphicData>
          </a:graphic>
        </xdr:graphicFrame>
      </mc:Choice>
      <mc:Fallback>
        <xdr:sp macro="" textlink="">
          <xdr:nvSpPr>
            <xdr:cNvPr id="0" name=""/>
            <xdr:cNvSpPr>
              <a:spLocks noTextEdit="1"/>
            </xdr:cNvSpPr>
          </xdr:nvSpPr>
          <xdr:spPr>
            <a:xfrm>
              <a:off x="2263140" y="2385060"/>
              <a:ext cx="1706880" cy="120396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noruoyiza Sardauna" refreshedDate="46097.24794872685" createdVersion="7" refreshedVersion="7" minRefreshableVersion="3" recordCount="50" xr:uid="{5A40D334-D3E1-4984-B87D-2F773A2458F8}">
  <cacheSource type="worksheet">
    <worksheetSource name="Table8"/>
  </cacheSource>
  <cacheFields count="10">
    <cacheField name="ID" numFmtId="0">
      <sharedItems containsSemiMixedTypes="0" containsString="0" containsNumber="1" containsInteger="1" minValue="1" maxValue="50"/>
    </cacheField>
    <cacheField name="Name" numFmtId="0">
      <sharedItems/>
    </cacheField>
    <cacheField name="Gender" numFmtId="0">
      <sharedItems count="2">
        <s v="M"/>
        <s v="F"/>
      </sharedItems>
    </cacheField>
    <cacheField name="Class" numFmtId="0">
      <sharedItems count="3">
        <s v="SS1"/>
        <s v="SS2"/>
        <s v="SS3"/>
      </sharedItems>
    </cacheField>
    <cacheField name="Session" numFmtId="0">
      <sharedItems/>
    </cacheField>
    <cacheField name="Term" numFmtId="0">
      <sharedItems/>
    </cacheField>
    <cacheField name="Amount Paid" numFmtId="164">
      <sharedItems containsSemiMixedTypes="0" containsString="0" containsNumber="1" containsInteger="1" minValue="0" maxValue="50000"/>
    </cacheField>
    <cacheField name="Total Fee" numFmtId="164">
      <sharedItems containsSemiMixedTypes="0" containsString="0" containsNumber="1" containsInteger="1" minValue="50000" maxValue="50000"/>
    </cacheField>
    <cacheField name="Balance" numFmtId="164">
      <sharedItems containsSemiMixedTypes="0" containsString="0" containsNumber="1" containsInteger="1" minValue="0" maxValue="50000"/>
    </cacheField>
    <cacheField name="Status" numFmtId="0">
      <sharedItems count="3">
        <s v="Paid"/>
        <s v="Deposit"/>
        <s v="Unpaid"/>
      </sharedItems>
    </cacheField>
  </cacheFields>
  <extLst>
    <ext xmlns:x14="http://schemas.microsoft.com/office/spreadsheetml/2009/9/main" uri="{725AE2AE-9491-48be-B2B4-4EB974FC3084}">
      <x14:pivotCacheDefinition pivotCacheId="18612498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n v="1"/>
    <s v="Musa Bello"/>
    <x v="0"/>
    <x v="0"/>
    <s v="2025/2026"/>
    <s v="Second"/>
    <n v="50000"/>
    <n v="50000"/>
    <n v="0"/>
    <x v="0"/>
  </r>
  <r>
    <n v="2"/>
    <s v="Amina Usman"/>
    <x v="1"/>
    <x v="0"/>
    <s v="2025/2026"/>
    <s v="Second"/>
    <n v="50000"/>
    <n v="50000"/>
    <n v="0"/>
    <x v="0"/>
  </r>
  <r>
    <n v="3"/>
    <s v="Abdul Musa"/>
    <x v="0"/>
    <x v="0"/>
    <s v="2025/2026"/>
    <s v="Second"/>
    <n v="50000"/>
    <n v="50000"/>
    <n v="0"/>
    <x v="0"/>
  </r>
  <r>
    <n v="4"/>
    <s v="Mary John"/>
    <x v="1"/>
    <x v="0"/>
    <s v="2025/2026"/>
    <s v="Second"/>
    <n v="50000"/>
    <n v="50000"/>
    <n v="0"/>
    <x v="0"/>
  </r>
  <r>
    <n v="5"/>
    <s v="Aliyu Umar"/>
    <x v="0"/>
    <x v="0"/>
    <s v="2025/2026"/>
    <s v="First"/>
    <n v="50000"/>
    <n v="50000"/>
    <n v="0"/>
    <x v="0"/>
  </r>
  <r>
    <n v="6"/>
    <s v="Deborah James"/>
    <x v="1"/>
    <x v="0"/>
    <s v="2025/2026"/>
    <s v="First"/>
    <n v="25000"/>
    <n v="50000"/>
    <n v="25000"/>
    <x v="1"/>
  </r>
  <r>
    <n v="7"/>
    <s v="Ibrahim Musa"/>
    <x v="0"/>
    <x v="0"/>
    <s v="2025/2026"/>
    <s v="First"/>
    <n v="2000"/>
    <n v="50000"/>
    <n v="48000"/>
    <x v="1"/>
  </r>
  <r>
    <n v="8"/>
    <s v="Sarah Yusuf"/>
    <x v="1"/>
    <x v="0"/>
    <s v="2025/2026"/>
    <s v="Second"/>
    <n v="50000"/>
    <n v="50000"/>
    <n v="0"/>
    <x v="0"/>
  </r>
  <r>
    <n v="9"/>
    <s v="Ahmed Sule"/>
    <x v="0"/>
    <x v="0"/>
    <s v="2025/2026"/>
    <s v="First"/>
    <n v="50000"/>
    <n v="50000"/>
    <n v="0"/>
    <x v="0"/>
  </r>
  <r>
    <n v="10"/>
    <s v="Janet Philip"/>
    <x v="1"/>
    <x v="0"/>
    <s v="2025/2026"/>
    <s v="First"/>
    <n v="30000"/>
    <n v="50000"/>
    <n v="20000"/>
    <x v="1"/>
  </r>
  <r>
    <n v="11"/>
    <s v="Bala Ibrahim"/>
    <x v="0"/>
    <x v="0"/>
    <s v="2025/2026"/>
    <s v="First"/>
    <n v="0"/>
    <n v="50000"/>
    <n v="50000"/>
    <x v="2"/>
  </r>
  <r>
    <n v="12"/>
    <s v="Lydia Daniel"/>
    <x v="1"/>
    <x v="0"/>
    <s v="2025/2026"/>
    <s v="Second"/>
    <n v="50000"/>
    <n v="50000"/>
    <n v="0"/>
    <x v="0"/>
  </r>
  <r>
    <n v="13"/>
    <s v="Musa Yakubu"/>
    <x v="0"/>
    <x v="0"/>
    <s v="2025/2026"/>
    <s v="First"/>
    <n v="50000"/>
    <n v="50000"/>
    <n v="0"/>
    <x v="0"/>
  </r>
  <r>
    <n v="14"/>
    <s v="Aisha Mohammed"/>
    <x v="1"/>
    <x v="0"/>
    <s v="2025/2026"/>
    <s v="First"/>
    <n v="15000"/>
    <n v="50000"/>
    <n v="35000"/>
    <x v="1"/>
  </r>
  <r>
    <n v="15"/>
    <s v="Kabiru Ahmed"/>
    <x v="0"/>
    <x v="0"/>
    <s v="2025/2026"/>
    <s v="Second"/>
    <n v="50000"/>
    <n v="50000"/>
    <n v="0"/>
    <x v="0"/>
  </r>
  <r>
    <n v="16"/>
    <s v="Esther Philip"/>
    <x v="1"/>
    <x v="0"/>
    <s v="2025/2026"/>
    <s v="First"/>
    <n v="0"/>
    <n v="50000"/>
    <n v="50000"/>
    <x v="2"/>
  </r>
  <r>
    <n v="17"/>
    <s v="Yusuf Mohammed"/>
    <x v="0"/>
    <x v="0"/>
    <s v="2025/2026"/>
    <s v="Second"/>
    <n v="20000"/>
    <n v="50000"/>
    <n v="30000"/>
    <x v="1"/>
  </r>
  <r>
    <n v="18"/>
    <s v="Ruth Musa"/>
    <x v="1"/>
    <x v="0"/>
    <s v="2025/2026"/>
    <s v="Second"/>
    <n v="50000"/>
    <n v="50000"/>
    <n v="0"/>
    <x v="0"/>
  </r>
  <r>
    <n v="19"/>
    <s v="John David"/>
    <x v="0"/>
    <x v="1"/>
    <s v="2025/2026"/>
    <s v="First"/>
    <n v="0"/>
    <n v="50000"/>
    <n v="50000"/>
    <x v="2"/>
  </r>
  <r>
    <n v="20"/>
    <s v="Fatima Aliyu"/>
    <x v="1"/>
    <x v="1"/>
    <s v="2025/2026"/>
    <s v="First"/>
    <n v="50000"/>
    <n v="50000"/>
    <n v="0"/>
    <x v="0"/>
  </r>
  <r>
    <n v="21"/>
    <s v="Yusuf Lawal"/>
    <x v="0"/>
    <x v="1"/>
    <s v="2025/2026"/>
    <s v="Second"/>
    <n v="30000"/>
    <n v="50000"/>
    <n v="20000"/>
    <x v="1"/>
  </r>
  <r>
    <n v="22"/>
    <s v="Blessing Peter"/>
    <x v="1"/>
    <x v="1"/>
    <s v="2025/2026"/>
    <s v="First"/>
    <n v="50000"/>
    <n v="50000"/>
    <n v="0"/>
    <x v="0"/>
  </r>
  <r>
    <n v="23"/>
    <s v="Kabiru Bello"/>
    <x v="0"/>
    <x v="1"/>
    <s v="2025/2026"/>
    <s v="First"/>
    <n v="15000"/>
    <n v="50000"/>
    <n v="35000"/>
    <x v="1"/>
  </r>
  <r>
    <n v="24"/>
    <s v="Grace Michael"/>
    <x v="1"/>
    <x v="1"/>
    <s v="2025/2026"/>
    <s v="Second"/>
    <n v="50000"/>
    <n v="50000"/>
    <n v="0"/>
    <x v="0"/>
  </r>
  <r>
    <n v="25"/>
    <s v="Sadiq Lawal"/>
    <x v="0"/>
    <x v="1"/>
    <s v="2025/2026"/>
    <s v="First"/>
    <n v="50000"/>
    <n v="50000"/>
    <n v="0"/>
    <x v="0"/>
  </r>
  <r>
    <n v="26"/>
    <s v="Ruth John"/>
    <x v="1"/>
    <x v="1"/>
    <s v="2025/2026"/>
    <s v="Second"/>
    <n v="20000"/>
    <n v="50000"/>
    <n v="30000"/>
    <x v="1"/>
  </r>
  <r>
    <n v="27"/>
    <s v="Usman Garba"/>
    <x v="0"/>
    <x v="1"/>
    <s v="2025/2026"/>
    <s v="First"/>
    <n v="50000"/>
    <n v="50000"/>
    <n v="0"/>
    <x v="0"/>
  </r>
  <r>
    <n v="28"/>
    <s v="Maryam Bello"/>
    <x v="1"/>
    <x v="1"/>
    <s v="2025/2026"/>
    <s v="First"/>
    <n v="50000"/>
    <n v="50000"/>
    <n v="0"/>
    <x v="0"/>
  </r>
  <r>
    <n v="29"/>
    <s v="Umar Farouk"/>
    <x v="0"/>
    <x v="1"/>
    <s v="2025/2026"/>
    <s v="Second"/>
    <n v="25000"/>
    <n v="50000"/>
    <n v="25000"/>
    <x v="1"/>
  </r>
  <r>
    <n v="30"/>
    <s v="Patience John"/>
    <x v="1"/>
    <x v="1"/>
    <s v="2025/2026"/>
    <s v="First"/>
    <n v="50000"/>
    <n v="50000"/>
    <n v="0"/>
    <x v="0"/>
  </r>
  <r>
    <n v="31"/>
    <s v="Sani Lawal"/>
    <x v="0"/>
    <x v="1"/>
    <s v="2025/2026"/>
    <s v="First"/>
    <n v="50000"/>
    <n v="50000"/>
    <n v="0"/>
    <x v="0"/>
  </r>
  <r>
    <n v="32"/>
    <s v="Blessing James"/>
    <x v="1"/>
    <x v="1"/>
    <s v="2025/2026"/>
    <s v="Second"/>
    <n v="50000"/>
    <n v="50000"/>
    <n v="0"/>
    <x v="0"/>
  </r>
  <r>
    <n v="33"/>
    <s v="Abdullahi Bello"/>
    <x v="0"/>
    <x v="1"/>
    <s v="2025/2026"/>
    <s v="Second"/>
    <n v="50000"/>
    <n v="50000"/>
    <n v="0"/>
    <x v="0"/>
  </r>
  <r>
    <n v="34"/>
    <s v="Mary Ibrahim"/>
    <x v="1"/>
    <x v="1"/>
    <s v="2025/2026"/>
    <s v="First"/>
    <n v="25000"/>
    <n v="50000"/>
    <n v="25000"/>
    <x v="1"/>
  </r>
  <r>
    <n v="35"/>
    <s v="Ibrahim Sadiq"/>
    <x v="0"/>
    <x v="2"/>
    <s v="2025/2026"/>
    <s v="First"/>
    <n v="25000"/>
    <n v="50000"/>
    <n v="25000"/>
    <x v="1"/>
  </r>
  <r>
    <n v="36"/>
    <s v="Zainab Garba"/>
    <x v="1"/>
    <x v="2"/>
    <s v="2025/2026"/>
    <s v="First"/>
    <n v="50000"/>
    <n v="50000"/>
    <n v="0"/>
    <x v="0"/>
  </r>
  <r>
    <n v="37"/>
    <s v="Sani Abdullahi"/>
    <x v="0"/>
    <x v="2"/>
    <s v="2025/2026"/>
    <s v="First"/>
    <n v="50000"/>
    <n v="50000"/>
    <n v="0"/>
    <x v="0"/>
  </r>
  <r>
    <n v="38"/>
    <s v="Esther Daniel"/>
    <x v="1"/>
    <x v="2"/>
    <s v="2025/2026"/>
    <s v="First"/>
    <n v="20000"/>
    <n v="50000"/>
    <n v="30000"/>
    <x v="1"/>
  </r>
  <r>
    <n v="39"/>
    <s v="Bashir Ahmed"/>
    <x v="0"/>
    <x v="2"/>
    <s v="2025/2026"/>
    <s v="First"/>
    <n v="0"/>
    <n v="50000"/>
    <n v="50000"/>
    <x v="2"/>
  </r>
  <r>
    <n v="40"/>
    <s v="Halima Abubakar"/>
    <x v="1"/>
    <x v="2"/>
    <s v="2025/2026"/>
    <s v="Second"/>
    <n v="50000"/>
    <n v="50000"/>
    <n v="0"/>
    <x v="0"/>
  </r>
  <r>
    <n v="41"/>
    <s v="Abdullahi Sani"/>
    <x v="0"/>
    <x v="2"/>
    <s v="2025/2026"/>
    <s v="First"/>
    <n v="50000"/>
    <n v="50000"/>
    <n v="0"/>
    <x v="0"/>
  </r>
  <r>
    <n v="42"/>
    <s v="Victoria Musa"/>
    <x v="1"/>
    <x v="2"/>
    <s v="2025/2026"/>
    <s v="Second"/>
    <n v="0"/>
    <n v="50000"/>
    <n v="50000"/>
    <x v="2"/>
  </r>
  <r>
    <n v="43"/>
    <s v="Nasiru Ali"/>
    <x v="0"/>
    <x v="2"/>
    <s v="2025/2026"/>
    <s v="Second"/>
    <n v="20000"/>
    <n v="50000"/>
    <n v="30000"/>
    <x v="1"/>
  </r>
  <r>
    <n v="44"/>
    <s v="Grace Musa"/>
    <x v="1"/>
    <x v="2"/>
    <s v="2025/2026"/>
    <s v="First"/>
    <n v="50000"/>
    <n v="50000"/>
    <n v="0"/>
    <x v="0"/>
  </r>
  <r>
    <n v="45"/>
    <s v="Sadiq Abubakar"/>
    <x v="0"/>
    <x v="2"/>
    <s v="2025/2026"/>
    <s v="First"/>
    <n v="50000"/>
    <n v="50000"/>
    <n v="0"/>
    <x v="0"/>
  </r>
  <r>
    <n v="46"/>
    <s v="Comfort Peter"/>
    <x v="1"/>
    <x v="2"/>
    <s v="2025/2026"/>
    <s v="Second"/>
    <n v="20000"/>
    <n v="50000"/>
    <n v="30000"/>
    <x v="1"/>
  </r>
  <r>
    <n v="47"/>
    <s v="Ibrahim Ali"/>
    <x v="0"/>
    <x v="2"/>
    <s v="2025/2026"/>
    <s v="First"/>
    <n v="30000"/>
    <n v="50000"/>
    <n v="20000"/>
    <x v="1"/>
  </r>
  <r>
    <n v="48"/>
    <s v="Zainab Musa"/>
    <x v="1"/>
    <x v="2"/>
    <s v="2025/2026"/>
    <s v="First"/>
    <n v="50000"/>
    <n v="50000"/>
    <n v="0"/>
    <x v="0"/>
  </r>
  <r>
    <n v="49"/>
    <s v="Musa Sadiq"/>
    <x v="0"/>
    <x v="2"/>
    <s v="2025/2026"/>
    <s v="Second"/>
    <n v="50000"/>
    <n v="50000"/>
    <n v="0"/>
    <x v="0"/>
  </r>
  <r>
    <n v="50"/>
    <s v="Grace Abdullahi"/>
    <x v="1"/>
    <x v="2"/>
    <s v="2025/2026"/>
    <s v="First"/>
    <n v="50000"/>
    <n v="50000"/>
    <n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AE97052-B3C0-4503-9ACD-C08F26829B19}" name="PivotTable1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9">
  <location ref="G2:H28" firstHeaderRow="1" firstDataRow="1" firstDataCol="1"/>
  <pivotFields count="10">
    <pivotField dataField="1" showAll="0"/>
    <pivotField showAll="0"/>
    <pivotField name="Payment Status" axis="axisRow" showAll="0">
      <items count="3">
        <item x="1"/>
        <item x="0"/>
        <item t="default"/>
      </items>
    </pivotField>
    <pivotField axis="axisRow" showAll="0">
      <items count="4">
        <item x="0"/>
        <item x="1"/>
        <item x="2"/>
        <item t="default"/>
      </items>
    </pivotField>
    <pivotField showAll="0"/>
    <pivotField showAll="0"/>
    <pivotField numFmtId="164" showAll="0"/>
    <pivotField numFmtId="164" showAll="0"/>
    <pivotField numFmtId="164" showAll="0"/>
    <pivotField axis="axisRow" multipleItemSelectionAllowed="1" showAll="0">
      <items count="4">
        <item x="1"/>
        <item x="0"/>
        <item x="2"/>
        <item t="default"/>
      </items>
    </pivotField>
  </pivotFields>
  <rowFields count="3">
    <field x="2"/>
    <field x="9"/>
    <field x="3"/>
  </rowFields>
  <rowItems count="26">
    <i>
      <x/>
    </i>
    <i r="1">
      <x/>
    </i>
    <i r="2">
      <x/>
    </i>
    <i r="2">
      <x v="1"/>
    </i>
    <i r="2">
      <x v="2"/>
    </i>
    <i r="1">
      <x v="1"/>
    </i>
    <i r="2">
      <x/>
    </i>
    <i r="2">
      <x v="1"/>
    </i>
    <i r="2">
      <x v="2"/>
    </i>
    <i r="1">
      <x v="2"/>
    </i>
    <i r="2">
      <x/>
    </i>
    <i r="2">
      <x v="2"/>
    </i>
    <i>
      <x v="1"/>
    </i>
    <i r="1">
      <x/>
    </i>
    <i r="2">
      <x/>
    </i>
    <i r="2">
      <x v="1"/>
    </i>
    <i r="2">
      <x v="2"/>
    </i>
    <i r="1">
      <x v="1"/>
    </i>
    <i r="2">
      <x/>
    </i>
    <i r="2">
      <x v="1"/>
    </i>
    <i r="2">
      <x v="2"/>
    </i>
    <i r="1">
      <x v="2"/>
    </i>
    <i r="2">
      <x/>
    </i>
    <i r="2">
      <x v="1"/>
    </i>
    <i r="2">
      <x v="2"/>
    </i>
    <i t="grand">
      <x/>
    </i>
  </rowItems>
  <colItems count="1">
    <i/>
  </colItems>
  <dataFields count="1">
    <dataField name="Count of ID" fld="0" subtotal="count" baseField="0" baseItem="0"/>
  </dataFields>
  <chartFormats count="18">
    <chartFormat chart="28" format="18" series="1">
      <pivotArea type="data" outline="0" fieldPosition="0">
        <references count="1">
          <reference field="4294967294" count="1" selected="0">
            <x v="0"/>
          </reference>
        </references>
      </pivotArea>
    </chartFormat>
    <chartFormat chart="28" format="19">
      <pivotArea type="data" outline="0" fieldPosition="0">
        <references count="4">
          <reference field="4294967294" count="1" selected="0">
            <x v="0"/>
          </reference>
          <reference field="2" count="1" selected="0">
            <x v="0"/>
          </reference>
          <reference field="3" count="1" selected="0">
            <x v="0"/>
          </reference>
          <reference field="9" count="1" selected="0">
            <x v="0"/>
          </reference>
        </references>
      </pivotArea>
    </chartFormat>
    <chartFormat chart="28" format="20">
      <pivotArea type="data" outline="0" fieldPosition="0">
        <references count="4">
          <reference field="4294967294" count="1" selected="0">
            <x v="0"/>
          </reference>
          <reference field="2" count="1" selected="0">
            <x v="0"/>
          </reference>
          <reference field="3" count="1" selected="0">
            <x v="1"/>
          </reference>
          <reference field="9" count="1" selected="0">
            <x v="0"/>
          </reference>
        </references>
      </pivotArea>
    </chartFormat>
    <chartFormat chart="28" format="21">
      <pivotArea type="data" outline="0" fieldPosition="0">
        <references count="4">
          <reference field="4294967294" count="1" selected="0">
            <x v="0"/>
          </reference>
          <reference field="2" count="1" selected="0">
            <x v="0"/>
          </reference>
          <reference field="3" count="1" selected="0">
            <x v="2"/>
          </reference>
          <reference field="9" count="1" selected="0">
            <x v="0"/>
          </reference>
        </references>
      </pivotArea>
    </chartFormat>
    <chartFormat chart="28" format="22">
      <pivotArea type="data" outline="0" fieldPosition="0">
        <references count="4">
          <reference field="4294967294" count="1" selected="0">
            <x v="0"/>
          </reference>
          <reference field="2" count="1" selected="0">
            <x v="0"/>
          </reference>
          <reference field="3" count="1" selected="0">
            <x v="0"/>
          </reference>
          <reference field="9" count="1" selected="0">
            <x v="1"/>
          </reference>
        </references>
      </pivotArea>
    </chartFormat>
    <chartFormat chart="28" format="23">
      <pivotArea type="data" outline="0" fieldPosition="0">
        <references count="4">
          <reference field="4294967294" count="1" selected="0">
            <x v="0"/>
          </reference>
          <reference field="2" count="1" selected="0">
            <x v="0"/>
          </reference>
          <reference field="3" count="1" selected="0">
            <x v="1"/>
          </reference>
          <reference field="9" count="1" selected="0">
            <x v="1"/>
          </reference>
        </references>
      </pivotArea>
    </chartFormat>
    <chartFormat chart="28" format="24">
      <pivotArea type="data" outline="0" fieldPosition="0">
        <references count="4">
          <reference field="4294967294" count="1" selected="0">
            <x v="0"/>
          </reference>
          <reference field="2" count="1" selected="0">
            <x v="0"/>
          </reference>
          <reference field="3" count="1" selected="0">
            <x v="2"/>
          </reference>
          <reference field="9" count="1" selected="0">
            <x v="1"/>
          </reference>
        </references>
      </pivotArea>
    </chartFormat>
    <chartFormat chart="28" format="25">
      <pivotArea type="data" outline="0" fieldPosition="0">
        <references count="4">
          <reference field="4294967294" count="1" selected="0">
            <x v="0"/>
          </reference>
          <reference field="2" count="1" selected="0">
            <x v="0"/>
          </reference>
          <reference field="3" count="1" selected="0">
            <x v="0"/>
          </reference>
          <reference field="9" count="1" selected="0">
            <x v="2"/>
          </reference>
        </references>
      </pivotArea>
    </chartFormat>
    <chartFormat chart="28" format="26">
      <pivotArea type="data" outline="0" fieldPosition="0">
        <references count="4">
          <reference field="4294967294" count="1" selected="0">
            <x v="0"/>
          </reference>
          <reference field="2" count="1" selected="0">
            <x v="0"/>
          </reference>
          <reference field="3" count="1" selected="0">
            <x v="2"/>
          </reference>
          <reference field="9" count="1" selected="0">
            <x v="2"/>
          </reference>
        </references>
      </pivotArea>
    </chartFormat>
    <chartFormat chart="28" format="27">
      <pivotArea type="data" outline="0" fieldPosition="0">
        <references count="4">
          <reference field="4294967294" count="1" selected="0">
            <x v="0"/>
          </reference>
          <reference field="2" count="1" selected="0">
            <x v="1"/>
          </reference>
          <reference field="3" count="1" selected="0">
            <x v="0"/>
          </reference>
          <reference field="9" count="1" selected="0">
            <x v="0"/>
          </reference>
        </references>
      </pivotArea>
    </chartFormat>
    <chartFormat chart="28" format="28">
      <pivotArea type="data" outline="0" fieldPosition="0">
        <references count="4">
          <reference field="4294967294" count="1" selected="0">
            <x v="0"/>
          </reference>
          <reference field="2" count="1" selected="0">
            <x v="1"/>
          </reference>
          <reference field="3" count="1" selected="0">
            <x v="1"/>
          </reference>
          <reference field="9" count="1" selected="0">
            <x v="0"/>
          </reference>
        </references>
      </pivotArea>
    </chartFormat>
    <chartFormat chart="28" format="29">
      <pivotArea type="data" outline="0" fieldPosition="0">
        <references count="4">
          <reference field="4294967294" count="1" selected="0">
            <x v="0"/>
          </reference>
          <reference field="2" count="1" selected="0">
            <x v="1"/>
          </reference>
          <reference field="3" count="1" selected="0">
            <x v="2"/>
          </reference>
          <reference field="9" count="1" selected="0">
            <x v="0"/>
          </reference>
        </references>
      </pivotArea>
    </chartFormat>
    <chartFormat chart="28" format="30">
      <pivotArea type="data" outline="0" fieldPosition="0">
        <references count="4">
          <reference field="4294967294" count="1" selected="0">
            <x v="0"/>
          </reference>
          <reference field="2" count="1" selected="0">
            <x v="1"/>
          </reference>
          <reference field="3" count="1" selected="0">
            <x v="0"/>
          </reference>
          <reference field="9" count="1" selected="0">
            <x v="1"/>
          </reference>
        </references>
      </pivotArea>
    </chartFormat>
    <chartFormat chart="28" format="31">
      <pivotArea type="data" outline="0" fieldPosition="0">
        <references count="4">
          <reference field="4294967294" count="1" selected="0">
            <x v="0"/>
          </reference>
          <reference field="2" count="1" selected="0">
            <x v="1"/>
          </reference>
          <reference field="3" count="1" selected="0">
            <x v="1"/>
          </reference>
          <reference field="9" count="1" selected="0">
            <x v="1"/>
          </reference>
        </references>
      </pivotArea>
    </chartFormat>
    <chartFormat chart="28" format="32">
      <pivotArea type="data" outline="0" fieldPosition="0">
        <references count="4">
          <reference field="4294967294" count="1" selected="0">
            <x v="0"/>
          </reference>
          <reference field="2" count="1" selected="0">
            <x v="1"/>
          </reference>
          <reference field="3" count="1" selected="0">
            <x v="2"/>
          </reference>
          <reference field="9" count="1" selected="0">
            <x v="1"/>
          </reference>
        </references>
      </pivotArea>
    </chartFormat>
    <chartFormat chart="28" format="33">
      <pivotArea type="data" outline="0" fieldPosition="0">
        <references count="4">
          <reference field="4294967294" count="1" selected="0">
            <x v="0"/>
          </reference>
          <reference field="2" count="1" selected="0">
            <x v="1"/>
          </reference>
          <reference field="3" count="1" selected="0">
            <x v="0"/>
          </reference>
          <reference field="9" count="1" selected="0">
            <x v="2"/>
          </reference>
        </references>
      </pivotArea>
    </chartFormat>
    <chartFormat chart="28" format="34">
      <pivotArea type="data" outline="0" fieldPosition="0">
        <references count="4">
          <reference field="4294967294" count="1" selected="0">
            <x v="0"/>
          </reference>
          <reference field="2" count="1" selected="0">
            <x v="1"/>
          </reference>
          <reference field="3" count="1" selected="0">
            <x v="1"/>
          </reference>
          <reference field="9" count="1" selected="0">
            <x v="2"/>
          </reference>
        </references>
      </pivotArea>
    </chartFormat>
    <chartFormat chart="28" format="35">
      <pivotArea type="data" outline="0" fieldPosition="0">
        <references count="4">
          <reference field="4294967294" count="1" selected="0">
            <x v="0"/>
          </reference>
          <reference field="2" count="1" selected="0">
            <x v="1"/>
          </reference>
          <reference field="3" count="1" selected="0">
            <x v="2"/>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2C460CD-5B1B-4B27-A9E7-A91D523E908F}"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2:E5" firstHeaderRow="1" firstDataRow="1" firstDataCol="1"/>
  <pivotFields count="10">
    <pivotField dataField="1" showAll="0"/>
    <pivotField showAll="0"/>
    <pivotField axis="axisRow" showAll="0">
      <items count="3">
        <item x="1"/>
        <item x="0"/>
        <item t="default"/>
      </items>
    </pivotField>
    <pivotField showAll="0">
      <items count="4">
        <item x="0"/>
        <item x="1"/>
        <item x="2"/>
        <item t="default"/>
      </items>
    </pivotField>
    <pivotField showAll="0"/>
    <pivotField showAll="0"/>
    <pivotField numFmtId="164" showAll="0"/>
    <pivotField numFmtId="164" showAll="0"/>
    <pivotField numFmtId="164" showAll="0"/>
    <pivotField multipleItemSelectionAllowed="1" showAll="0"/>
  </pivotFields>
  <rowFields count="1">
    <field x="2"/>
  </rowFields>
  <rowItems count="3">
    <i>
      <x/>
    </i>
    <i>
      <x v="1"/>
    </i>
    <i t="grand">
      <x/>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52F4B8C-C4B4-46B0-AEE1-3633C22533C1}" name="PivotTable1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J9:L13" firstHeaderRow="0" firstDataRow="1" firstDataCol="1"/>
  <pivotFields count="10">
    <pivotField showAll="0"/>
    <pivotField showAll="0"/>
    <pivotField showAll="0"/>
    <pivotField axis="axisRow" showAll="0">
      <items count="4">
        <item x="0"/>
        <item x="1"/>
        <item x="2"/>
        <item t="default"/>
      </items>
    </pivotField>
    <pivotField showAll="0"/>
    <pivotField showAll="0"/>
    <pivotField dataField="1" numFmtId="164" showAll="0"/>
    <pivotField numFmtId="164" showAll="0"/>
    <pivotField dataField="1" numFmtId="164" showAll="0"/>
    <pivotField multipleItemSelectionAllowed="1" showAll="0"/>
  </pivotFields>
  <rowFields count="1">
    <field x="3"/>
  </rowFields>
  <rowItems count="4">
    <i>
      <x/>
    </i>
    <i>
      <x v="1"/>
    </i>
    <i>
      <x v="2"/>
    </i>
    <i t="grand">
      <x/>
    </i>
  </rowItems>
  <colFields count="1">
    <field x="-2"/>
  </colFields>
  <colItems count="2">
    <i>
      <x/>
    </i>
    <i i="1">
      <x v="1"/>
    </i>
  </colItems>
  <dataFields count="2">
    <dataField name="Sum of Amount Paid" fld="6" baseField="0" baseItem="0" numFmtId="165"/>
    <dataField name="Sum of Balance" fld="8" baseField="0" baseItem="0"/>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690C1CA-1697-49BE-826E-1A9D822AD804}" name="PivotTable11" cacheId="0" applyNumberFormats="0" applyBorderFormats="0" applyFontFormats="0" applyPatternFormats="0" applyAlignmentFormats="0" applyWidthHeightFormats="1" dataCaption="Values" updatedVersion="7" minRefreshableVersion="3" showDrill="0" useAutoFormatting="1" itemPrintTitles="1" createdVersion="7" indent="0" outline="1" outlineData="1" multipleFieldFilters="0" chartFormat="31">
  <location ref="A2:B12" firstHeaderRow="1" firstDataRow="1" firstDataCol="1"/>
  <pivotFields count="10">
    <pivotField dataField="1" showAll="0"/>
    <pivotField showAll="0"/>
    <pivotField axis="axisRow" showAll="0">
      <items count="3">
        <item x="1"/>
        <item x="0"/>
        <item t="default"/>
      </items>
    </pivotField>
    <pivotField name="Class" axis="axisRow" showAll="0">
      <items count="4">
        <item x="0"/>
        <item x="1"/>
        <item x="2"/>
        <item t="default"/>
      </items>
    </pivotField>
    <pivotField showAll="0"/>
    <pivotField showAll="0"/>
    <pivotField numFmtId="164" showAll="0"/>
    <pivotField numFmtId="164" showAll="0"/>
    <pivotField numFmtId="164" showAll="0"/>
    <pivotField multipleItemSelectionAllowed="1" showAll="0"/>
  </pivotFields>
  <rowFields count="2">
    <field x="3"/>
    <field x="2"/>
  </rowFields>
  <rowItems count="10">
    <i>
      <x/>
    </i>
    <i r="1">
      <x/>
    </i>
    <i r="1">
      <x v="1"/>
    </i>
    <i>
      <x v="1"/>
    </i>
    <i r="1">
      <x/>
    </i>
    <i r="1">
      <x v="1"/>
    </i>
    <i>
      <x v="2"/>
    </i>
    <i r="1">
      <x/>
    </i>
    <i r="1">
      <x v="1"/>
    </i>
    <i t="grand">
      <x/>
    </i>
  </rowItems>
  <colItems count="1">
    <i/>
  </colItems>
  <dataFields count="1">
    <dataField name="Count of ID" fld="0" subtotal="count" baseField="0" baseItem="0"/>
  </dataFields>
  <chartFormats count="21">
    <chartFormat chart="28" format="6" series="1">
      <pivotArea type="data" outline="0" fieldPosition="0">
        <references count="1">
          <reference field="4294967294" count="1" selected="0">
            <x v="0"/>
          </reference>
        </references>
      </pivotArea>
    </chartFormat>
    <chartFormat chart="28" format="7">
      <pivotArea type="data" outline="0" fieldPosition="0">
        <references count="3">
          <reference field="4294967294" count="1" selected="0">
            <x v="0"/>
          </reference>
          <reference field="2" count="1" selected="0">
            <x v="0"/>
          </reference>
          <reference field="3" count="1" selected="0">
            <x v="0"/>
          </reference>
        </references>
      </pivotArea>
    </chartFormat>
    <chartFormat chart="28" format="8">
      <pivotArea type="data" outline="0" fieldPosition="0">
        <references count="3">
          <reference field="4294967294" count="1" selected="0">
            <x v="0"/>
          </reference>
          <reference field="2" count="1" selected="0">
            <x v="1"/>
          </reference>
          <reference field="3" count="1" selected="0">
            <x v="0"/>
          </reference>
        </references>
      </pivotArea>
    </chartFormat>
    <chartFormat chart="28" format="9">
      <pivotArea type="data" outline="0" fieldPosition="0">
        <references count="3">
          <reference field="4294967294" count="1" selected="0">
            <x v="0"/>
          </reference>
          <reference field="2" count="1" selected="0">
            <x v="0"/>
          </reference>
          <reference field="3" count="1" selected="0">
            <x v="1"/>
          </reference>
        </references>
      </pivotArea>
    </chartFormat>
    <chartFormat chart="28" format="10">
      <pivotArea type="data" outline="0" fieldPosition="0">
        <references count="3">
          <reference field="4294967294" count="1" selected="0">
            <x v="0"/>
          </reference>
          <reference field="2" count="1" selected="0">
            <x v="1"/>
          </reference>
          <reference field="3" count="1" selected="0">
            <x v="1"/>
          </reference>
        </references>
      </pivotArea>
    </chartFormat>
    <chartFormat chart="28" format="11">
      <pivotArea type="data" outline="0" fieldPosition="0">
        <references count="3">
          <reference field="4294967294" count="1" selected="0">
            <x v="0"/>
          </reference>
          <reference field="2" count="1" selected="0">
            <x v="0"/>
          </reference>
          <reference field="3" count="1" selected="0">
            <x v="2"/>
          </reference>
        </references>
      </pivotArea>
    </chartFormat>
    <chartFormat chart="28" format="12">
      <pivotArea type="data" outline="0" fieldPosition="0">
        <references count="3">
          <reference field="4294967294" count="1" selected="0">
            <x v="0"/>
          </reference>
          <reference field="2" count="1" selected="0">
            <x v="1"/>
          </reference>
          <reference field="3" count="1" selected="0">
            <x v="2"/>
          </reference>
        </references>
      </pivotArea>
    </chartFormat>
    <chartFormat chart="29" format="13" series="1">
      <pivotArea type="data" outline="0" fieldPosition="0">
        <references count="1">
          <reference field="4294967294" count="1" selected="0">
            <x v="0"/>
          </reference>
        </references>
      </pivotArea>
    </chartFormat>
    <chartFormat chart="29" format="14">
      <pivotArea type="data" outline="0" fieldPosition="0">
        <references count="3">
          <reference field="4294967294" count="1" selected="0">
            <x v="0"/>
          </reference>
          <reference field="2" count="1" selected="0">
            <x v="0"/>
          </reference>
          <reference field="3" count="1" selected="0">
            <x v="0"/>
          </reference>
        </references>
      </pivotArea>
    </chartFormat>
    <chartFormat chart="29" format="15">
      <pivotArea type="data" outline="0" fieldPosition="0">
        <references count="3">
          <reference field="4294967294" count="1" selected="0">
            <x v="0"/>
          </reference>
          <reference field="2" count="1" selected="0">
            <x v="1"/>
          </reference>
          <reference field="3" count="1" selected="0">
            <x v="0"/>
          </reference>
        </references>
      </pivotArea>
    </chartFormat>
    <chartFormat chart="29" format="16">
      <pivotArea type="data" outline="0" fieldPosition="0">
        <references count="3">
          <reference field="4294967294" count="1" selected="0">
            <x v="0"/>
          </reference>
          <reference field="2" count="1" selected="0">
            <x v="0"/>
          </reference>
          <reference field="3" count="1" selected="0">
            <x v="1"/>
          </reference>
        </references>
      </pivotArea>
    </chartFormat>
    <chartFormat chart="29" format="17">
      <pivotArea type="data" outline="0" fieldPosition="0">
        <references count="3">
          <reference field="4294967294" count="1" selected="0">
            <x v="0"/>
          </reference>
          <reference field="2" count="1" selected="0">
            <x v="1"/>
          </reference>
          <reference field="3" count="1" selected="0">
            <x v="1"/>
          </reference>
        </references>
      </pivotArea>
    </chartFormat>
    <chartFormat chart="29" format="18">
      <pivotArea type="data" outline="0" fieldPosition="0">
        <references count="3">
          <reference field="4294967294" count="1" selected="0">
            <x v="0"/>
          </reference>
          <reference field="2" count="1" selected="0">
            <x v="0"/>
          </reference>
          <reference field="3" count="1" selected="0">
            <x v="2"/>
          </reference>
        </references>
      </pivotArea>
    </chartFormat>
    <chartFormat chart="29" format="19">
      <pivotArea type="data" outline="0" fieldPosition="0">
        <references count="3">
          <reference field="4294967294" count="1" selected="0">
            <x v="0"/>
          </reference>
          <reference field="2" count="1" selected="0">
            <x v="1"/>
          </reference>
          <reference field="3" count="1" selected="0">
            <x v="2"/>
          </reference>
        </references>
      </pivotArea>
    </chartFormat>
    <chartFormat chart="30" format="13" series="1">
      <pivotArea type="data" outline="0" fieldPosition="0">
        <references count="1">
          <reference field="4294967294" count="1" selected="0">
            <x v="0"/>
          </reference>
        </references>
      </pivotArea>
    </chartFormat>
    <chartFormat chart="30" format="14">
      <pivotArea type="data" outline="0" fieldPosition="0">
        <references count="3">
          <reference field="4294967294" count="1" selected="0">
            <x v="0"/>
          </reference>
          <reference field="2" count="1" selected="0">
            <x v="0"/>
          </reference>
          <reference field="3" count="1" selected="0">
            <x v="0"/>
          </reference>
        </references>
      </pivotArea>
    </chartFormat>
    <chartFormat chart="30" format="15">
      <pivotArea type="data" outline="0" fieldPosition="0">
        <references count="3">
          <reference field="4294967294" count="1" selected="0">
            <x v="0"/>
          </reference>
          <reference field="2" count="1" selected="0">
            <x v="1"/>
          </reference>
          <reference field="3" count="1" selected="0">
            <x v="0"/>
          </reference>
        </references>
      </pivotArea>
    </chartFormat>
    <chartFormat chart="30" format="16">
      <pivotArea type="data" outline="0" fieldPosition="0">
        <references count="3">
          <reference field="4294967294" count="1" selected="0">
            <x v="0"/>
          </reference>
          <reference field="2" count="1" selected="0">
            <x v="0"/>
          </reference>
          <reference field="3" count="1" selected="0">
            <x v="1"/>
          </reference>
        </references>
      </pivotArea>
    </chartFormat>
    <chartFormat chart="30" format="17">
      <pivotArea type="data" outline="0" fieldPosition="0">
        <references count="3">
          <reference field="4294967294" count="1" selected="0">
            <x v="0"/>
          </reference>
          <reference field="2" count="1" selected="0">
            <x v="1"/>
          </reference>
          <reference field="3" count="1" selected="0">
            <x v="1"/>
          </reference>
        </references>
      </pivotArea>
    </chartFormat>
    <chartFormat chart="30" format="18">
      <pivotArea type="data" outline="0" fieldPosition="0">
        <references count="3">
          <reference field="4294967294" count="1" selected="0">
            <x v="0"/>
          </reference>
          <reference field="2" count="1" selected="0">
            <x v="0"/>
          </reference>
          <reference field="3" count="1" selected="0">
            <x v="2"/>
          </reference>
        </references>
      </pivotArea>
    </chartFormat>
    <chartFormat chart="30" format="19">
      <pivotArea type="data" outline="0" fieldPosition="0">
        <references count="3">
          <reference field="4294967294" count="1" selected="0">
            <x v="0"/>
          </reference>
          <reference field="2" count="1" selected="0">
            <x v="1"/>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ass" xr10:uid="{79BB0977-90B1-48D6-9DC4-0BE80DF6006D}" sourceName="Class">
  <pivotTables>
    <pivotTable tabId="10" name="PivotTable17"/>
    <pivotTable tabId="10" name="PivotTable10"/>
    <pivotTable tabId="10" name="PivotTable11"/>
    <pivotTable tabId="10" name="PivotTable14"/>
  </pivotTables>
  <data>
    <tabular pivotCacheId="1861249894">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lass" xr10:uid="{FA7830C1-94AD-4445-BECF-A0B550E4FB3D}" cache="Slicer_Class" caption="Clas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FD852E2-BEC5-4FB1-B452-E90E40E3864A}" name="Table2" displayName="Table2" ref="A1:I51" totalsRowShown="0" headerRowDxfId="56" dataDxfId="55">
  <autoFilter ref="A1:I51" xr:uid="{EFD852E2-BEC5-4FB1-B452-E90E40E3864A}"/>
  <tableColumns count="9">
    <tableColumn id="1" xr3:uid="{A0751BA8-0AA1-482E-BE3B-20645DB6AF0A}" name="ID" dataDxfId="54"/>
    <tableColumn id="2" xr3:uid="{39EB7EAB-16E9-421C-90F0-626443842D34}" name="Name" dataDxfId="53"/>
    <tableColumn id="3" xr3:uid="{77E67ECD-B2A2-4C7F-8784-7641BF2F18A6}" name="Gender" dataDxfId="52"/>
    <tableColumn id="4" xr3:uid="{A4E63AB2-B285-4F9B-80BC-5021CE83A2D6}" name="Class" dataDxfId="51"/>
    <tableColumn id="5" xr3:uid="{9B635271-4F9A-404D-8962-6DFE8D054ABC}" name="Session" dataDxfId="50"/>
    <tableColumn id="6" xr3:uid="{37A4F262-B290-469B-B981-C8C662EDE9AD}" name="Term" dataDxfId="49"/>
    <tableColumn id="8" xr3:uid="{DE03FAA3-25EE-4138-B1C5-0615D42EB560}" name="Amount Paid" dataDxfId="48"/>
    <tableColumn id="9" xr3:uid="{E6C161A6-EFA3-472E-B9C5-B2DFF8925DB3}" name="Total Fee" dataDxfId="47"/>
    <tableColumn id="10" xr3:uid="{11D8426B-10C4-4FDE-9DA1-27ACB0C11C72}" name="Balance" dataDxfId="4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F468FE0-49B9-4BEA-9BEE-D3BF21A944E5}" name="Table6" displayName="Table6" ref="J1:J1048576" totalsRowShown="0" headerRowDxfId="45">
  <autoFilter ref="J1:J1048576" xr:uid="{2F468FE0-49B9-4BEA-9BEE-D3BF21A944E5}"/>
  <tableColumns count="1">
    <tableColumn id="1" xr3:uid="{707E0355-C589-4944-9159-DCD59DC92F07}" name="Statu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ECD48CE-F5CE-4FE1-9E48-DBDA770BF448}" name="Table3" displayName="Table3" ref="A1:I17" totalsRowShown="0" headerRowDxfId="44" dataDxfId="43">
  <autoFilter ref="A1:I17" xr:uid="{3ECD48CE-F5CE-4FE1-9E48-DBDA770BF448}"/>
  <tableColumns count="9">
    <tableColumn id="1" xr3:uid="{9E81A819-1AA1-4DEB-B97A-1BCA75F79138}" name="ID" dataDxfId="42"/>
    <tableColumn id="2" xr3:uid="{61E1462F-845E-4BF9-ADF5-4917CFBA799F}" name="Name" dataDxfId="41"/>
    <tableColumn id="3" xr3:uid="{8FEE570B-8378-4A7E-B348-92CF042DA6D0}" name="Gender" dataDxfId="40"/>
    <tableColumn id="4" xr3:uid="{CDB12ADA-3165-4B2E-B04A-51A4954F83D2}" name="Class" dataDxfId="39"/>
    <tableColumn id="5" xr3:uid="{030580F6-0648-4945-9D79-6B0D03F665E3}" name="Session" dataDxfId="38"/>
    <tableColumn id="6" xr3:uid="{2C931DCF-7214-4211-8576-53BAA4F35C5D}" name="Term" dataDxfId="37"/>
    <tableColumn id="8" xr3:uid="{EEA26068-295E-4174-8814-BEF3B7DCC323}" name="Amount Paid" dataDxfId="36"/>
    <tableColumn id="9" xr3:uid="{AB75EA64-81E3-4344-80FC-7C735B3E411E}" name="Total Fee" dataDxfId="35"/>
    <tableColumn id="10" xr3:uid="{19D0D236-01E0-4889-8CEE-014F96C6A988}" name="Balance" dataDxfId="3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CDA5C79-ED44-42A6-A860-2788123C55DE}" name="Table7" displayName="Table7" ref="J1:J1048576" totalsRowShown="0" headerRowDxfId="33">
  <autoFilter ref="J1:J1048576" xr:uid="{3CDA5C79-ED44-42A6-A860-2788123C55DE}"/>
  <tableColumns count="1">
    <tableColumn id="1" xr3:uid="{D52AF055-3E59-4CC4-B804-E20EA066CC2B}" name="Statu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6FCD1FF-E254-48C4-8C59-1DDF03896E92}" name="Table4" displayName="Table4" ref="A1:I17" totalsRowShown="0" headerRowDxfId="32" dataDxfId="31">
  <autoFilter ref="A1:I17" xr:uid="{A6FCD1FF-E254-48C4-8C59-1DDF03896E92}"/>
  <tableColumns count="9">
    <tableColumn id="1" xr3:uid="{9EC3C27C-CAEF-4555-A774-768298A0554A}" name="ID" dataDxfId="30"/>
    <tableColumn id="2" xr3:uid="{705C08FF-D054-4DC9-95D4-C9E5C1F609AB}" name="Name" dataDxfId="29"/>
    <tableColumn id="3" xr3:uid="{05D598E4-F53E-462F-BEF7-FCEC717560DE}" name="Gender" dataDxfId="28"/>
    <tableColumn id="4" xr3:uid="{0D4D3E78-9C23-421B-9B89-6CD45B67C5BA}" name="Class" dataDxfId="27"/>
    <tableColumn id="5" xr3:uid="{A63C0910-B540-440C-9C65-C9F4E3C87CDB}" name="Session" dataDxfId="26"/>
    <tableColumn id="6" xr3:uid="{48206EF9-7A2C-4AD8-9147-2E6A5E57BCFB}" name="Term" dataDxfId="25"/>
    <tableColumn id="8" xr3:uid="{3BF5F43D-3A3F-4AE7-8BB2-B11AF17112BB}" name="Amount Paid" dataDxfId="24"/>
    <tableColumn id="9" xr3:uid="{9DDD543F-F292-404A-B308-000CCA848647}" name="Total Fee" dataDxfId="23"/>
    <tableColumn id="10" xr3:uid="{3CB2F598-C32F-4449-836D-5586B1CE0A53}" name="Balance" dataDxfId="22"/>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856E3E4-1078-4406-82B2-E736BB29DCBC}" name="Table5" displayName="Table5" ref="J1:J17" totalsRowShown="0" headerRowDxfId="21" dataDxfId="20">
  <autoFilter ref="J1:J17" xr:uid="{D856E3E4-1078-4406-82B2-E736BB29DCBC}"/>
  <tableColumns count="1">
    <tableColumn id="1" xr3:uid="{121CFBD2-FA59-4C8B-B878-FF69BC294816}" name="Status" dataDxfId="19"/>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FF71A7A-457A-4F5D-BE89-DCAA429AB1EF}" name="Table8" displayName="Table8" ref="A1:J51" totalsRowShown="0" headerRowDxfId="15" dataDxfId="14">
  <autoFilter ref="A1:J51" xr:uid="{5FF71A7A-457A-4F5D-BE89-DCAA429AB1EF}"/>
  <tableColumns count="10">
    <tableColumn id="1" xr3:uid="{F983D9A6-76DD-4BD5-81B8-9BE39CD5F1EF}" name="ID" dataDxfId="13"/>
    <tableColumn id="2" xr3:uid="{36DAD3DD-EFA4-47F5-B8BC-AD71A72E734B}" name="Name" dataDxfId="12"/>
    <tableColumn id="3" xr3:uid="{2178B49F-6E02-416D-9ADE-E3EFE46985AC}" name="Gender" dataDxfId="11"/>
    <tableColumn id="4" xr3:uid="{EB1C5465-FE00-4563-B643-25D526DAA25E}" name="Class" dataDxfId="10"/>
    <tableColumn id="5" xr3:uid="{C0FD4333-48E8-4D5A-AAA3-8B37AED9B7EE}" name="Session" dataDxfId="9"/>
    <tableColumn id="6" xr3:uid="{BDE9D434-5D83-4F1F-8DE8-0BD9C022BAED}" name="Term" dataDxfId="8"/>
    <tableColumn id="7" xr3:uid="{7B2798E5-E560-4279-AF35-99DA7A3B35CC}" name="Amount Paid" dataDxfId="7"/>
    <tableColumn id="8" xr3:uid="{A8ED317F-D658-480E-87A3-DBFA988216F5}" name="Total Fee" dataDxfId="6"/>
    <tableColumn id="9" xr3:uid="{2E98AEB2-BF11-4921-B61E-D45C1A838ABC}" name="Balance" dataDxfId="5">
      <calculatedColumnFormula>Table8[[#This Row],[Total Fee]]-Table8[[#This Row],[Amount Paid]]</calculatedColumnFormula>
    </tableColumn>
    <tableColumn id="10" xr3:uid="{AEF926E8-F4BA-4BF4-8C1F-7AF7987AA110}" name="Status" dataDxfId="4">
      <calculatedColumnFormula>IF(Table8[[#This Row],[Amount Paid]]=0,"Unpaid",IF(Table8[[#This Row],[Amount Paid]]&lt;Table8[[#This Row],[Total Fee]],"Deposit","Paid"))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3.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table" Target="../tables/table5.xml"/></Relationships>
</file>

<file path=xl/worksheets/_rels/sheet4.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rinterSettings" Target="../printerSettings/printerSettings2.bin"/><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876A8B-09A0-462E-909C-4554F0640EFF}">
  <sheetPr codeName="Sheet1"/>
  <dimension ref="A1:J65"/>
  <sheetViews>
    <sheetView workbookViewId="0">
      <selection activeCell="L3" sqref="L3"/>
    </sheetView>
  </sheetViews>
  <sheetFormatPr defaultRowHeight="14.4" x14ac:dyDescent="0.3"/>
  <cols>
    <col min="1" max="1" width="7.21875" bestFit="1" customWidth="1"/>
    <col min="2" max="2" width="10.44140625" bestFit="1" customWidth="1"/>
    <col min="3" max="3" width="11.5546875" bestFit="1" customWidth="1"/>
    <col min="4" max="4" width="9.5546875" bestFit="1" customWidth="1"/>
    <col min="5" max="5" width="11.6640625" bestFit="1" customWidth="1"/>
    <col min="6" max="6" width="9.77734375" bestFit="1" customWidth="1"/>
    <col min="7" max="7" width="16.44140625" bestFit="1" customWidth="1"/>
    <col min="8" max="8" width="13" bestFit="1" customWidth="1"/>
    <col min="9" max="9" width="12" bestFit="1" customWidth="1"/>
    <col min="10" max="10" width="10.6640625" bestFit="1" customWidth="1"/>
  </cols>
  <sheetData>
    <row r="1" spans="1:10" x14ac:dyDescent="0.3">
      <c r="A1" s="7" t="s">
        <v>7</v>
      </c>
      <c r="B1" s="7" t="s">
        <v>0</v>
      </c>
      <c r="C1" s="7" t="s">
        <v>1</v>
      </c>
      <c r="D1" s="7" t="s">
        <v>2</v>
      </c>
      <c r="E1" s="7" t="s">
        <v>3</v>
      </c>
      <c r="F1" s="7" t="s">
        <v>4</v>
      </c>
      <c r="G1" s="7" t="s">
        <v>5</v>
      </c>
      <c r="H1" s="7" t="s">
        <v>6</v>
      </c>
      <c r="I1" s="7" t="s">
        <v>69</v>
      </c>
      <c r="J1" s="7" t="s">
        <v>8</v>
      </c>
    </row>
    <row r="2" spans="1:10" x14ac:dyDescent="0.3">
      <c r="A2" s="1">
        <v>1</v>
      </c>
      <c r="B2" s="1" t="s">
        <v>9</v>
      </c>
      <c r="C2" s="1" t="s">
        <v>10</v>
      </c>
      <c r="D2" s="1" t="s">
        <v>11</v>
      </c>
      <c r="E2" s="1" t="s">
        <v>12</v>
      </c>
      <c r="F2" s="1" t="s">
        <v>70</v>
      </c>
      <c r="G2" s="1">
        <v>50000</v>
      </c>
      <c r="H2" s="1">
        <v>50000</v>
      </c>
      <c r="I2" s="1">
        <v>0</v>
      </c>
      <c r="J2" s="1" t="s">
        <v>14</v>
      </c>
    </row>
    <row r="3" spans="1:10" ht="28.8" x14ac:dyDescent="0.3">
      <c r="A3" s="1">
        <v>2</v>
      </c>
      <c r="B3" s="1" t="s">
        <v>15</v>
      </c>
      <c r="C3" s="1" t="s">
        <v>16</v>
      </c>
      <c r="D3" s="1" t="s">
        <v>11</v>
      </c>
      <c r="E3" s="1" t="s">
        <v>12</v>
      </c>
      <c r="F3" s="1" t="s">
        <v>13</v>
      </c>
      <c r="G3" s="1">
        <v>20000</v>
      </c>
      <c r="H3" s="1">
        <v>50000</v>
      </c>
      <c r="I3" s="1">
        <v>30000</v>
      </c>
      <c r="J3" s="1" t="s">
        <v>17</v>
      </c>
    </row>
    <row r="4" spans="1:10" x14ac:dyDescent="0.3">
      <c r="A4" s="1">
        <v>3</v>
      </c>
      <c r="B4" s="1" t="s">
        <v>25</v>
      </c>
      <c r="C4" s="1" t="s">
        <v>10</v>
      </c>
      <c r="D4" s="1" t="s">
        <v>11</v>
      </c>
      <c r="E4" s="1" t="s">
        <v>12</v>
      </c>
      <c r="F4" s="1" t="s">
        <v>13</v>
      </c>
      <c r="G4" s="1">
        <v>0</v>
      </c>
      <c r="H4" s="1">
        <v>50000</v>
      </c>
      <c r="I4" s="1">
        <v>50000</v>
      </c>
      <c r="J4" s="1" t="s">
        <v>20</v>
      </c>
    </row>
    <row r="5" spans="1:10" x14ac:dyDescent="0.3">
      <c r="A5" s="1">
        <v>4</v>
      </c>
      <c r="B5" s="1" t="s">
        <v>26</v>
      </c>
      <c r="C5" s="1" t="s">
        <v>16</v>
      </c>
      <c r="D5" s="1" t="s">
        <v>11</v>
      </c>
      <c r="E5" s="1" t="s">
        <v>12</v>
      </c>
      <c r="F5" s="1" t="s">
        <v>13</v>
      </c>
      <c r="G5" s="1">
        <v>50000</v>
      </c>
      <c r="H5" s="1">
        <v>50000</v>
      </c>
      <c r="I5" s="1">
        <v>0</v>
      </c>
      <c r="J5" s="1" t="s">
        <v>14</v>
      </c>
    </row>
    <row r="6" spans="1:10" x14ac:dyDescent="0.3">
      <c r="A6" s="1">
        <v>5</v>
      </c>
      <c r="B6" s="1" t="s">
        <v>31</v>
      </c>
      <c r="C6" s="1" t="s">
        <v>10</v>
      </c>
      <c r="D6" s="1" t="s">
        <v>11</v>
      </c>
      <c r="E6" s="1" t="s">
        <v>12</v>
      </c>
      <c r="F6" s="1" t="s">
        <v>13</v>
      </c>
      <c r="G6" s="1">
        <v>50000</v>
      </c>
      <c r="H6" s="1">
        <v>50000</v>
      </c>
      <c r="I6" s="1">
        <v>0</v>
      </c>
      <c r="J6" s="1" t="s">
        <v>14</v>
      </c>
    </row>
    <row r="7" spans="1:10" ht="28.8" x14ac:dyDescent="0.3">
      <c r="A7" s="1">
        <v>6</v>
      </c>
      <c r="B7" s="1" t="s">
        <v>32</v>
      </c>
      <c r="C7" s="1" t="s">
        <v>16</v>
      </c>
      <c r="D7" s="1" t="s">
        <v>11</v>
      </c>
      <c r="E7" s="1" t="s">
        <v>12</v>
      </c>
      <c r="F7" s="1" t="s">
        <v>13</v>
      </c>
      <c r="G7" s="1">
        <v>50000</v>
      </c>
      <c r="H7" s="1">
        <v>50000</v>
      </c>
      <c r="I7" s="1">
        <v>0</v>
      </c>
      <c r="J7" s="1" t="s">
        <v>14</v>
      </c>
    </row>
    <row r="8" spans="1:10" ht="28.8" x14ac:dyDescent="0.3">
      <c r="A8" s="1">
        <v>7</v>
      </c>
      <c r="B8" s="1" t="s">
        <v>37</v>
      </c>
      <c r="C8" s="1" t="s">
        <v>10</v>
      </c>
      <c r="D8" s="1" t="s">
        <v>11</v>
      </c>
      <c r="E8" s="1" t="s">
        <v>12</v>
      </c>
      <c r="F8" s="1" t="s">
        <v>13</v>
      </c>
      <c r="G8" s="1">
        <v>25000</v>
      </c>
      <c r="H8" s="1">
        <v>50000</v>
      </c>
      <c r="I8" s="1">
        <v>25000</v>
      </c>
      <c r="J8" s="1" t="s">
        <v>17</v>
      </c>
    </row>
    <row r="9" spans="1:10" x14ac:dyDescent="0.3">
      <c r="A9" s="1">
        <v>8</v>
      </c>
      <c r="B9" s="1" t="s">
        <v>38</v>
      </c>
      <c r="C9" s="1" t="s">
        <v>16</v>
      </c>
      <c r="D9" s="1" t="s">
        <v>11</v>
      </c>
      <c r="E9" s="1" t="s">
        <v>12</v>
      </c>
      <c r="F9" s="1" t="s">
        <v>70</v>
      </c>
      <c r="G9" s="1">
        <v>50000</v>
      </c>
      <c r="H9" s="1">
        <v>50000</v>
      </c>
      <c r="I9" s="1">
        <v>0</v>
      </c>
      <c r="J9" s="1" t="s">
        <v>14</v>
      </c>
    </row>
    <row r="10" spans="1:10" x14ac:dyDescent="0.3">
      <c r="A10" s="1">
        <v>9</v>
      </c>
      <c r="B10" s="1" t="s">
        <v>43</v>
      </c>
      <c r="C10" s="1" t="s">
        <v>10</v>
      </c>
      <c r="D10" s="1" t="s">
        <v>11</v>
      </c>
      <c r="E10" s="1" t="s">
        <v>12</v>
      </c>
      <c r="F10" s="1" t="s">
        <v>13</v>
      </c>
      <c r="G10" s="1">
        <v>50000</v>
      </c>
      <c r="H10" s="1">
        <v>50000</v>
      </c>
      <c r="I10" s="1">
        <v>0</v>
      </c>
      <c r="J10" s="1" t="s">
        <v>14</v>
      </c>
    </row>
    <row r="11" spans="1:10" x14ac:dyDescent="0.3">
      <c r="A11" s="1">
        <v>10</v>
      </c>
      <c r="B11" s="1" t="s">
        <v>44</v>
      </c>
      <c r="C11" s="1" t="s">
        <v>16</v>
      </c>
      <c r="D11" s="1" t="s">
        <v>11</v>
      </c>
      <c r="E11" s="1" t="s">
        <v>12</v>
      </c>
      <c r="F11" s="1" t="s">
        <v>13</v>
      </c>
      <c r="G11" s="1">
        <v>30000</v>
      </c>
      <c r="H11" s="1">
        <v>50000</v>
      </c>
      <c r="I11" s="1">
        <v>20000</v>
      </c>
      <c r="J11" s="1" t="s">
        <v>17</v>
      </c>
    </row>
    <row r="12" spans="1:10" ht="28.8" x14ac:dyDescent="0.3">
      <c r="A12" s="1">
        <v>11</v>
      </c>
      <c r="B12" s="1" t="s">
        <v>49</v>
      </c>
      <c r="C12" s="1" t="s">
        <v>10</v>
      </c>
      <c r="D12" s="1" t="s">
        <v>11</v>
      </c>
      <c r="E12" s="1" t="s">
        <v>12</v>
      </c>
      <c r="F12" s="1" t="s">
        <v>13</v>
      </c>
      <c r="G12" s="1">
        <v>0</v>
      </c>
      <c r="H12" s="1">
        <v>50000</v>
      </c>
      <c r="I12" s="1">
        <v>50000</v>
      </c>
      <c r="J12" s="1" t="s">
        <v>20</v>
      </c>
    </row>
    <row r="13" spans="1:10" ht="28.8" x14ac:dyDescent="0.3">
      <c r="A13" s="1">
        <v>12</v>
      </c>
      <c r="B13" s="1" t="s">
        <v>50</v>
      </c>
      <c r="C13" s="1" t="s">
        <v>16</v>
      </c>
      <c r="D13" s="1" t="s">
        <v>11</v>
      </c>
      <c r="E13" s="1" t="s">
        <v>12</v>
      </c>
      <c r="F13" s="1" t="s">
        <v>70</v>
      </c>
      <c r="G13" s="1">
        <v>50000</v>
      </c>
      <c r="H13" s="1">
        <v>50000</v>
      </c>
      <c r="I13" s="1">
        <v>0</v>
      </c>
      <c r="J13" s="1" t="s">
        <v>14</v>
      </c>
    </row>
    <row r="14" spans="1:10" ht="28.8" x14ac:dyDescent="0.3">
      <c r="A14" s="1">
        <v>13</v>
      </c>
      <c r="B14" s="1" t="s">
        <v>55</v>
      </c>
      <c r="C14" s="1" t="s">
        <v>10</v>
      </c>
      <c r="D14" s="1" t="s">
        <v>11</v>
      </c>
      <c r="E14" s="1" t="s">
        <v>12</v>
      </c>
      <c r="F14" s="1" t="s">
        <v>13</v>
      </c>
      <c r="G14" s="1">
        <v>50000</v>
      </c>
      <c r="H14" s="1">
        <v>50000</v>
      </c>
      <c r="I14" s="1">
        <v>0</v>
      </c>
      <c r="J14" s="1" t="s">
        <v>14</v>
      </c>
    </row>
    <row r="15" spans="1:10" ht="43.2" x14ac:dyDescent="0.3">
      <c r="A15" s="1">
        <v>14</v>
      </c>
      <c r="B15" s="1" t="s">
        <v>56</v>
      </c>
      <c r="C15" s="1" t="s">
        <v>16</v>
      </c>
      <c r="D15" s="1" t="s">
        <v>11</v>
      </c>
      <c r="E15" s="1" t="s">
        <v>12</v>
      </c>
      <c r="F15" s="1" t="s">
        <v>13</v>
      </c>
      <c r="G15" s="1">
        <v>15000</v>
      </c>
      <c r="H15" s="1">
        <v>50000</v>
      </c>
      <c r="I15" s="1">
        <v>35000</v>
      </c>
      <c r="J15" s="1" t="s">
        <v>17</v>
      </c>
    </row>
    <row r="16" spans="1:10" ht="28.8" x14ac:dyDescent="0.3">
      <c r="A16" s="1">
        <v>15</v>
      </c>
      <c r="B16" s="1" t="s">
        <v>61</v>
      </c>
      <c r="C16" s="1" t="s">
        <v>10</v>
      </c>
      <c r="D16" s="1" t="s">
        <v>11</v>
      </c>
      <c r="E16" s="1" t="s">
        <v>12</v>
      </c>
      <c r="F16" s="1" t="s">
        <v>70</v>
      </c>
      <c r="G16" s="1">
        <v>50000</v>
      </c>
      <c r="H16" s="1">
        <v>50000</v>
      </c>
      <c r="I16" s="1">
        <v>0</v>
      </c>
      <c r="J16" s="1" t="s">
        <v>14</v>
      </c>
    </row>
    <row r="17" spans="1:10" ht="28.8" x14ac:dyDescent="0.3">
      <c r="A17" s="1">
        <v>16</v>
      </c>
      <c r="B17" s="1" t="s">
        <v>62</v>
      </c>
      <c r="C17" s="1" t="s">
        <v>16</v>
      </c>
      <c r="D17" s="1" t="s">
        <v>11</v>
      </c>
      <c r="E17" s="1" t="s">
        <v>12</v>
      </c>
      <c r="F17" s="1" t="s">
        <v>13</v>
      </c>
      <c r="G17" s="1">
        <v>0</v>
      </c>
      <c r="H17" s="1">
        <v>50000</v>
      </c>
      <c r="I17" s="1">
        <v>50000</v>
      </c>
      <c r="J17" s="1" t="s">
        <v>20</v>
      </c>
    </row>
    <row r="18" spans="1:10" ht="43.2" x14ac:dyDescent="0.3">
      <c r="A18" s="1">
        <v>17</v>
      </c>
      <c r="B18" s="1" t="s">
        <v>67</v>
      </c>
      <c r="C18" s="1" t="s">
        <v>10</v>
      </c>
      <c r="D18" s="1" t="s">
        <v>11</v>
      </c>
      <c r="E18" s="1" t="s">
        <v>12</v>
      </c>
      <c r="F18" s="1" t="s">
        <v>70</v>
      </c>
      <c r="G18" s="1">
        <v>20000</v>
      </c>
      <c r="H18" s="1">
        <v>50000</v>
      </c>
      <c r="I18" s="1">
        <v>30000</v>
      </c>
      <c r="J18" s="1" t="s">
        <v>17</v>
      </c>
    </row>
    <row r="19" spans="1:10" x14ac:dyDescent="0.3">
      <c r="A19" s="1">
        <v>18</v>
      </c>
      <c r="B19" s="1" t="s">
        <v>68</v>
      </c>
      <c r="C19" s="1" t="s">
        <v>16</v>
      </c>
      <c r="D19" s="1" t="s">
        <v>11</v>
      </c>
      <c r="E19" s="1" t="s">
        <v>12</v>
      </c>
      <c r="F19" s="1" t="s">
        <v>70</v>
      </c>
      <c r="G19" s="1">
        <v>50000</v>
      </c>
      <c r="H19" s="1">
        <v>50000</v>
      </c>
      <c r="I19" s="1">
        <v>0</v>
      </c>
      <c r="J19" s="1" t="s">
        <v>14</v>
      </c>
    </row>
    <row r="20" spans="1:10" x14ac:dyDescent="0.3">
      <c r="A20" s="1">
        <v>19</v>
      </c>
      <c r="B20" s="1"/>
      <c r="C20" s="1"/>
      <c r="D20" s="1"/>
      <c r="E20" s="1"/>
      <c r="F20" s="1"/>
      <c r="G20" s="1"/>
      <c r="H20" s="1"/>
      <c r="I20" s="1"/>
      <c r="J20" s="1"/>
    </row>
    <row r="21" spans="1:10" x14ac:dyDescent="0.3">
      <c r="A21" s="1">
        <v>20</v>
      </c>
      <c r="B21" s="1"/>
      <c r="C21" s="1"/>
      <c r="D21" s="1"/>
      <c r="E21" s="1"/>
      <c r="F21" s="1"/>
      <c r="G21" s="1"/>
      <c r="H21" s="1"/>
      <c r="I21" s="1"/>
      <c r="J21" s="1"/>
    </row>
    <row r="22" spans="1:10" x14ac:dyDescent="0.3">
      <c r="A22" s="1">
        <v>21</v>
      </c>
      <c r="B22" s="1"/>
      <c r="C22" s="1"/>
      <c r="D22" s="1"/>
      <c r="E22" s="1"/>
      <c r="F22" s="1"/>
      <c r="G22" s="1"/>
      <c r="H22" s="1"/>
      <c r="I22" s="1"/>
      <c r="J22" s="1"/>
    </row>
    <row r="23" spans="1:10" x14ac:dyDescent="0.3">
      <c r="A23" s="1">
        <v>22</v>
      </c>
      <c r="B23" s="1"/>
      <c r="C23" s="1"/>
      <c r="D23" s="1"/>
      <c r="E23" s="1"/>
      <c r="F23" s="1"/>
      <c r="G23" s="1"/>
      <c r="H23" s="1"/>
      <c r="I23" s="1"/>
      <c r="J23" s="1"/>
    </row>
    <row r="24" spans="1:10" x14ac:dyDescent="0.3">
      <c r="A24" s="1">
        <v>23</v>
      </c>
      <c r="B24" s="1"/>
      <c r="C24" s="1"/>
      <c r="D24" s="1"/>
      <c r="E24" s="1"/>
      <c r="F24" s="1"/>
      <c r="G24" s="1"/>
      <c r="H24" s="1"/>
      <c r="I24" s="1"/>
      <c r="J24" s="1"/>
    </row>
    <row r="25" spans="1:10" x14ac:dyDescent="0.3">
      <c r="A25" s="1">
        <v>24</v>
      </c>
      <c r="B25" s="1"/>
      <c r="C25" s="1"/>
      <c r="D25" s="1"/>
      <c r="E25" s="1"/>
      <c r="F25" s="1"/>
      <c r="G25" s="1"/>
      <c r="H25" s="1"/>
      <c r="I25" s="1"/>
      <c r="J25" s="1"/>
    </row>
    <row r="26" spans="1:10" x14ac:dyDescent="0.3">
      <c r="A26" s="1">
        <v>25</v>
      </c>
      <c r="B26" s="1"/>
      <c r="C26" s="1"/>
      <c r="D26" s="1"/>
      <c r="E26" s="1"/>
      <c r="F26" s="1"/>
      <c r="G26" s="1"/>
      <c r="H26" s="1"/>
      <c r="I26" s="1"/>
      <c r="J26" s="1"/>
    </row>
    <row r="27" spans="1:10" x14ac:dyDescent="0.3">
      <c r="A27" s="1">
        <v>26</v>
      </c>
      <c r="B27" s="1"/>
      <c r="C27" s="1"/>
      <c r="D27" s="1"/>
      <c r="E27" s="1"/>
      <c r="F27" s="1"/>
      <c r="G27" s="1"/>
      <c r="H27" s="1"/>
      <c r="I27" s="1"/>
      <c r="J27" s="1"/>
    </row>
    <row r="28" spans="1:10" x14ac:dyDescent="0.3">
      <c r="A28" s="1">
        <v>27</v>
      </c>
      <c r="B28" s="1"/>
      <c r="C28" s="1"/>
      <c r="D28" s="1"/>
      <c r="E28" s="1"/>
      <c r="F28" s="1"/>
      <c r="G28" s="1"/>
      <c r="H28" s="1"/>
      <c r="I28" s="1"/>
      <c r="J28" s="1"/>
    </row>
    <row r="29" spans="1:10" ht="18" x14ac:dyDescent="0.3">
      <c r="A29" s="1">
        <v>28</v>
      </c>
      <c r="B29" s="1"/>
      <c r="C29" s="1"/>
      <c r="D29" s="1"/>
      <c r="E29" s="1"/>
      <c r="F29" s="1"/>
      <c r="G29" s="1"/>
      <c r="H29" s="1"/>
      <c r="I29" s="1"/>
      <c r="J29" s="8"/>
    </row>
    <row r="30" spans="1:10" x14ac:dyDescent="0.3">
      <c r="A30" s="1">
        <v>29</v>
      </c>
      <c r="B30" s="1"/>
      <c r="C30" s="1"/>
      <c r="D30" s="1"/>
      <c r="E30" s="1"/>
      <c r="F30" s="1"/>
      <c r="G30" s="1"/>
      <c r="H30" s="1"/>
      <c r="I30" s="1"/>
      <c r="J30" s="1"/>
    </row>
    <row r="31" spans="1:10" x14ac:dyDescent="0.3">
      <c r="A31" s="1">
        <v>30</v>
      </c>
      <c r="B31" s="1"/>
      <c r="C31" s="1"/>
      <c r="D31" s="1"/>
      <c r="E31" s="1"/>
      <c r="F31" s="1"/>
      <c r="G31" s="1"/>
      <c r="H31" s="1"/>
      <c r="I31" s="1"/>
      <c r="J31" s="1"/>
    </row>
    <row r="32" spans="1:10" x14ac:dyDescent="0.3">
      <c r="A32" s="1">
        <v>31</v>
      </c>
      <c r="B32" s="1"/>
      <c r="C32" s="1"/>
      <c r="D32" s="1"/>
      <c r="E32" s="1"/>
      <c r="F32" s="1"/>
      <c r="G32" s="1"/>
      <c r="H32" s="1"/>
      <c r="I32" s="1"/>
      <c r="J32" s="1"/>
    </row>
    <row r="33" spans="1:10" x14ac:dyDescent="0.3">
      <c r="A33" s="1">
        <v>32</v>
      </c>
      <c r="B33" s="1"/>
      <c r="C33" s="1"/>
      <c r="D33" s="1"/>
      <c r="E33" s="1"/>
      <c r="F33" s="1"/>
      <c r="G33" s="1"/>
      <c r="H33" s="1"/>
      <c r="I33" s="1"/>
      <c r="J33" s="1"/>
    </row>
    <row r="34" spans="1:10" x14ac:dyDescent="0.3">
      <c r="A34" s="1">
        <v>33</v>
      </c>
      <c r="B34" s="1"/>
      <c r="C34" s="1"/>
      <c r="D34" s="1"/>
      <c r="E34" s="1"/>
      <c r="F34" s="1"/>
      <c r="G34" s="1"/>
      <c r="H34" s="1"/>
      <c r="I34" s="1"/>
      <c r="J34" s="1"/>
    </row>
    <row r="35" spans="1:10" x14ac:dyDescent="0.3">
      <c r="A35" s="1">
        <v>34</v>
      </c>
      <c r="B35" s="1"/>
      <c r="C35" s="1"/>
      <c r="D35" s="1"/>
      <c r="E35" s="1"/>
      <c r="F35" s="1"/>
      <c r="G35" s="1"/>
      <c r="H35" s="1"/>
      <c r="I35" s="1"/>
      <c r="J35" s="1"/>
    </row>
    <row r="36" spans="1:10" x14ac:dyDescent="0.3">
      <c r="A36" s="1">
        <v>35</v>
      </c>
      <c r="B36" s="1"/>
      <c r="C36" s="1"/>
      <c r="D36" s="1"/>
      <c r="E36" s="1"/>
      <c r="F36" s="1"/>
      <c r="G36" s="1"/>
      <c r="H36" s="1"/>
      <c r="I36" s="1"/>
      <c r="J36" s="1"/>
    </row>
    <row r="37" spans="1:10" x14ac:dyDescent="0.3">
      <c r="A37" s="1">
        <v>36</v>
      </c>
      <c r="B37" s="1"/>
      <c r="C37" s="1"/>
      <c r="D37" s="1"/>
      <c r="E37" s="1"/>
      <c r="F37" s="1"/>
      <c r="G37" s="1"/>
      <c r="H37" s="1"/>
      <c r="I37" s="1"/>
      <c r="J37" s="1"/>
    </row>
    <row r="38" spans="1:10" x14ac:dyDescent="0.3">
      <c r="A38" s="1">
        <v>37</v>
      </c>
      <c r="B38" s="1"/>
      <c r="C38" s="1"/>
      <c r="D38" s="1"/>
      <c r="E38" s="1"/>
      <c r="F38" s="1"/>
      <c r="G38" s="1"/>
      <c r="H38" s="1"/>
      <c r="I38" s="1"/>
      <c r="J38" s="1"/>
    </row>
    <row r="39" spans="1:10" x14ac:dyDescent="0.3">
      <c r="A39" s="1">
        <v>38</v>
      </c>
      <c r="B39" s="1"/>
      <c r="C39" s="1"/>
      <c r="D39" s="1"/>
      <c r="E39" s="1"/>
      <c r="F39" s="1"/>
      <c r="G39" s="1"/>
      <c r="H39" s="1"/>
      <c r="I39" s="1"/>
      <c r="J39" s="1"/>
    </row>
    <row r="40" spans="1:10" x14ac:dyDescent="0.3">
      <c r="A40" s="1">
        <v>39</v>
      </c>
      <c r="B40" s="1"/>
      <c r="C40" s="1"/>
      <c r="D40" s="1"/>
      <c r="E40" s="1"/>
      <c r="F40" s="1"/>
      <c r="G40" s="1"/>
      <c r="H40" s="1"/>
      <c r="I40" s="1"/>
      <c r="J40" s="1"/>
    </row>
    <row r="41" spans="1:10" x14ac:dyDescent="0.3">
      <c r="A41" s="1">
        <v>40</v>
      </c>
      <c r="B41" s="1"/>
      <c r="C41" s="1"/>
      <c r="D41" s="1"/>
      <c r="E41" s="1"/>
      <c r="F41" s="1"/>
      <c r="G41" s="1"/>
      <c r="H41" s="1"/>
      <c r="I41" s="1"/>
      <c r="J41" s="1"/>
    </row>
    <row r="42" spans="1:10" x14ac:dyDescent="0.3">
      <c r="A42" s="1">
        <v>41</v>
      </c>
      <c r="B42" s="1"/>
      <c r="C42" s="1"/>
      <c r="D42" s="1"/>
      <c r="E42" s="1"/>
      <c r="F42" s="1"/>
      <c r="G42" s="1"/>
      <c r="H42" s="1"/>
      <c r="I42" s="1"/>
      <c r="J42" s="1"/>
    </row>
    <row r="43" spans="1:10" ht="18" x14ac:dyDescent="0.3">
      <c r="A43" s="1">
        <v>42</v>
      </c>
      <c r="B43" s="1"/>
      <c r="C43" s="1"/>
      <c r="D43" s="1"/>
      <c r="E43" s="1"/>
      <c r="F43" s="1"/>
      <c r="G43" s="1"/>
      <c r="H43" s="1"/>
      <c r="I43" s="1"/>
      <c r="J43" s="8"/>
    </row>
    <row r="44" spans="1:10" x14ac:dyDescent="0.3">
      <c r="A44" s="1">
        <v>43</v>
      </c>
      <c r="B44" s="1"/>
      <c r="C44" s="1"/>
      <c r="D44" s="1"/>
      <c r="E44" s="1"/>
      <c r="F44" s="1"/>
      <c r="G44" s="1"/>
      <c r="H44" s="1"/>
      <c r="I44" s="1"/>
      <c r="J44" s="1"/>
    </row>
    <row r="45" spans="1:10" x14ac:dyDescent="0.3">
      <c r="A45" s="1">
        <v>44</v>
      </c>
      <c r="B45" s="1"/>
      <c r="C45" s="1"/>
      <c r="D45" s="1"/>
      <c r="E45" s="1"/>
      <c r="F45" s="1"/>
      <c r="G45" s="1"/>
      <c r="H45" s="1"/>
      <c r="I45" s="1"/>
      <c r="J45" s="1"/>
    </row>
    <row r="46" spans="1:10" x14ac:dyDescent="0.3">
      <c r="A46" s="1">
        <v>45</v>
      </c>
      <c r="B46" s="1"/>
      <c r="C46" s="1"/>
      <c r="D46" s="1"/>
      <c r="E46" s="1"/>
      <c r="F46" s="1"/>
      <c r="G46" s="1"/>
      <c r="H46" s="1"/>
      <c r="I46" s="1"/>
      <c r="J46" s="1"/>
    </row>
    <row r="47" spans="1:10" x14ac:dyDescent="0.3">
      <c r="A47" s="1">
        <v>46</v>
      </c>
      <c r="B47" s="1"/>
      <c r="C47" s="1"/>
      <c r="D47" s="1"/>
      <c r="E47" s="1"/>
      <c r="F47" s="1"/>
      <c r="G47" s="1"/>
      <c r="H47" s="1"/>
      <c r="I47" s="1"/>
      <c r="J47" s="1"/>
    </row>
    <row r="48" spans="1:10" x14ac:dyDescent="0.3">
      <c r="A48" s="1">
        <v>47</v>
      </c>
      <c r="B48" s="1"/>
      <c r="C48" s="1"/>
      <c r="D48" s="1"/>
      <c r="E48" s="1"/>
      <c r="F48" s="1"/>
      <c r="G48" s="1"/>
      <c r="H48" s="1"/>
      <c r="I48" s="1"/>
      <c r="J48" s="1"/>
    </row>
    <row r="49" spans="1:10" x14ac:dyDescent="0.3">
      <c r="A49" s="1">
        <v>48</v>
      </c>
      <c r="B49" s="1"/>
      <c r="C49" s="1"/>
      <c r="D49" s="1"/>
      <c r="E49" s="1"/>
      <c r="F49" s="1"/>
      <c r="G49" s="1"/>
      <c r="H49" s="1"/>
      <c r="I49" s="1"/>
      <c r="J49" s="1"/>
    </row>
    <row r="50" spans="1:10" x14ac:dyDescent="0.3">
      <c r="A50" s="1">
        <v>49</v>
      </c>
      <c r="B50" s="1"/>
      <c r="C50" s="1"/>
      <c r="D50" s="1"/>
      <c r="E50" s="1"/>
      <c r="F50" s="1"/>
      <c r="G50" s="1"/>
      <c r="H50" s="1"/>
      <c r="I50" s="1"/>
      <c r="J50" s="1"/>
    </row>
    <row r="51" spans="1:10" x14ac:dyDescent="0.3">
      <c r="A51" s="1">
        <v>50</v>
      </c>
      <c r="B51" s="1"/>
      <c r="C51" s="1"/>
      <c r="D51" s="1"/>
      <c r="E51" s="1"/>
      <c r="F51" s="1"/>
      <c r="G51" s="1"/>
      <c r="H51" s="1"/>
      <c r="I51" s="1"/>
      <c r="J51" s="1"/>
    </row>
    <row r="57" spans="1:10" ht="18" x14ac:dyDescent="0.3">
      <c r="J57" s="4"/>
    </row>
    <row r="60" spans="1:10" x14ac:dyDescent="0.3">
      <c r="J60" s="5"/>
    </row>
    <row r="61" spans="1:10" x14ac:dyDescent="0.3">
      <c r="J61" s="5"/>
    </row>
    <row r="64" spans="1:10" x14ac:dyDescent="0.3">
      <c r="J64" s="5"/>
    </row>
    <row r="65" spans="10:10" x14ac:dyDescent="0.3">
      <c r="J65" s="5"/>
    </row>
  </sheetData>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1407E-E670-423A-B284-8E18FAAB9BA4}">
  <sheetPr codeName="Sheet2"/>
  <dimension ref="A1:J17"/>
  <sheetViews>
    <sheetView workbookViewId="0">
      <selection activeCell="B2" sqref="B2:J17"/>
    </sheetView>
  </sheetViews>
  <sheetFormatPr defaultRowHeight="14.4" x14ac:dyDescent="0.3"/>
  <cols>
    <col min="1" max="1" width="7.21875" bestFit="1" customWidth="1"/>
    <col min="2" max="2" width="10.44140625" bestFit="1" customWidth="1"/>
    <col min="3" max="3" width="11.5546875" bestFit="1" customWidth="1"/>
    <col min="4" max="4" width="9.5546875" bestFit="1" customWidth="1"/>
    <col min="5" max="5" width="11.6640625" bestFit="1" customWidth="1"/>
    <col min="6" max="6" width="9.77734375" bestFit="1" customWidth="1"/>
    <col min="7" max="7" width="16.44140625" bestFit="1" customWidth="1"/>
    <col min="8" max="8" width="13" bestFit="1" customWidth="1"/>
    <col min="9" max="9" width="12" bestFit="1" customWidth="1"/>
    <col min="10" max="10" width="10.6640625" bestFit="1" customWidth="1"/>
  </cols>
  <sheetData>
    <row r="1" spans="1:10" x14ac:dyDescent="0.3">
      <c r="A1" s="7" t="s">
        <v>7</v>
      </c>
      <c r="B1" s="7" t="s">
        <v>0</v>
      </c>
      <c r="C1" s="7" t="s">
        <v>1</v>
      </c>
      <c r="D1" s="7" t="s">
        <v>2</v>
      </c>
      <c r="E1" s="7" t="s">
        <v>3</v>
      </c>
      <c r="F1" s="7" t="s">
        <v>4</v>
      </c>
      <c r="G1" s="7" t="s">
        <v>5</v>
      </c>
      <c r="H1" s="7" t="s">
        <v>6</v>
      </c>
      <c r="I1" s="7" t="s">
        <v>69</v>
      </c>
      <c r="J1" s="7" t="s">
        <v>8</v>
      </c>
    </row>
    <row r="2" spans="1:10" x14ac:dyDescent="0.3">
      <c r="A2" s="1">
        <v>3</v>
      </c>
      <c r="B2" s="1" t="s">
        <v>18</v>
      </c>
      <c r="C2" s="1" t="s">
        <v>10</v>
      </c>
      <c r="D2" s="1" t="s">
        <v>19</v>
      </c>
      <c r="E2" s="1" t="s">
        <v>12</v>
      </c>
      <c r="F2" s="1" t="s">
        <v>13</v>
      </c>
      <c r="G2" s="1">
        <v>0</v>
      </c>
      <c r="H2" s="1">
        <v>50000</v>
      </c>
      <c r="I2" s="1">
        <v>50000</v>
      </c>
      <c r="J2" s="1" t="s">
        <v>20</v>
      </c>
    </row>
    <row r="3" spans="1:10" ht="28.8" x14ac:dyDescent="0.3">
      <c r="A3" s="1">
        <v>4</v>
      </c>
      <c r="B3" s="1" t="s">
        <v>21</v>
      </c>
      <c r="C3" s="1" t="s">
        <v>16</v>
      </c>
      <c r="D3" s="1" t="s">
        <v>19</v>
      </c>
      <c r="E3" s="1" t="s">
        <v>12</v>
      </c>
      <c r="F3" s="1" t="s">
        <v>13</v>
      </c>
      <c r="G3" s="1">
        <v>50000</v>
      </c>
      <c r="H3" s="1">
        <v>50000</v>
      </c>
      <c r="I3" s="1">
        <v>0</v>
      </c>
      <c r="J3" s="1" t="s">
        <v>14</v>
      </c>
    </row>
    <row r="4" spans="1:10" ht="28.8" x14ac:dyDescent="0.3">
      <c r="A4" s="1">
        <v>9</v>
      </c>
      <c r="B4" s="1" t="s">
        <v>27</v>
      </c>
      <c r="C4" s="1" t="s">
        <v>10</v>
      </c>
      <c r="D4" s="1" t="s">
        <v>19</v>
      </c>
      <c r="E4" s="1" t="s">
        <v>12</v>
      </c>
      <c r="F4" s="1" t="s">
        <v>70</v>
      </c>
      <c r="G4" s="1">
        <v>30000</v>
      </c>
      <c r="H4" s="1">
        <v>50000</v>
      </c>
      <c r="I4" s="1">
        <v>20000</v>
      </c>
      <c r="J4" s="1" t="s">
        <v>17</v>
      </c>
    </row>
    <row r="5" spans="1:10" ht="28.8" x14ac:dyDescent="0.3">
      <c r="A5" s="1">
        <v>10</v>
      </c>
      <c r="B5" s="1" t="s">
        <v>28</v>
      </c>
      <c r="C5" s="1" t="s">
        <v>16</v>
      </c>
      <c r="D5" s="1" t="s">
        <v>19</v>
      </c>
      <c r="E5" s="1" t="s">
        <v>12</v>
      </c>
      <c r="F5" s="1" t="s">
        <v>13</v>
      </c>
      <c r="G5" s="1">
        <v>50000</v>
      </c>
      <c r="H5" s="1">
        <v>50000</v>
      </c>
      <c r="I5" s="1">
        <v>0</v>
      </c>
      <c r="J5" s="1" t="s">
        <v>14</v>
      </c>
    </row>
    <row r="6" spans="1:10" ht="28.8" x14ac:dyDescent="0.3">
      <c r="A6" s="1">
        <v>15</v>
      </c>
      <c r="B6" s="1" t="s">
        <v>33</v>
      </c>
      <c r="C6" s="1" t="s">
        <v>10</v>
      </c>
      <c r="D6" s="1" t="s">
        <v>19</v>
      </c>
      <c r="E6" s="1" t="s">
        <v>12</v>
      </c>
      <c r="F6" s="1" t="s">
        <v>13</v>
      </c>
      <c r="G6" s="1">
        <v>15000</v>
      </c>
      <c r="H6" s="1">
        <v>50000</v>
      </c>
      <c r="I6" s="1">
        <v>35000</v>
      </c>
      <c r="J6" s="1" t="s">
        <v>17</v>
      </c>
    </row>
    <row r="7" spans="1:10" ht="28.8" x14ac:dyDescent="0.3">
      <c r="A7" s="1">
        <v>16</v>
      </c>
      <c r="B7" s="1" t="s">
        <v>34</v>
      </c>
      <c r="C7" s="1" t="s">
        <v>16</v>
      </c>
      <c r="D7" s="1" t="s">
        <v>19</v>
      </c>
      <c r="E7" s="1" t="s">
        <v>12</v>
      </c>
      <c r="F7" s="1" t="s">
        <v>70</v>
      </c>
      <c r="G7" s="1">
        <v>50000</v>
      </c>
      <c r="H7" s="1">
        <v>50000</v>
      </c>
      <c r="I7" s="1">
        <v>0</v>
      </c>
      <c r="J7" s="1" t="s">
        <v>14</v>
      </c>
    </row>
    <row r="8" spans="1:10" ht="28.8" x14ac:dyDescent="0.3">
      <c r="A8" s="1">
        <v>21</v>
      </c>
      <c r="B8" s="1" t="s">
        <v>39</v>
      </c>
      <c r="C8" s="1" t="s">
        <v>10</v>
      </c>
      <c r="D8" s="1" t="s">
        <v>19</v>
      </c>
      <c r="E8" s="1" t="s">
        <v>12</v>
      </c>
      <c r="F8" s="1" t="s">
        <v>13</v>
      </c>
      <c r="G8" s="1">
        <v>50000</v>
      </c>
      <c r="H8" s="1">
        <v>50000</v>
      </c>
      <c r="I8" s="1">
        <v>0</v>
      </c>
      <c r="J8" s="1" t="s">
        <v>14</v>
      </c>
    </row>
    <row r="9" spans="1:10" x14ac:dyDescent="0.3">
      <c r="A9" s="1">
        <v>22</v>
      </c>
      <c r="B9" s="1" t="s">
        <v>40</v>
      </c>
      <c r="C9" s="1" t="s">
        <v>16</v>
      </c>
      <c r="D9" s="1" t="s">
        <v>19</v>
      </c>
      <c r="E9" s="1" t="s">
        <v>12</v>
      </c>
      <c r="F9" s="1" t="s">
        <v>70</v>
      </c>
      <c r="G9" s="1">
        <v>20000</v>
      </c>
      <c r="H9" s="1">
        <v>50000</v>
      </c>
      <c r="I9" s="1">
        <v>30000</v>
      </c>
      <c r="J9" s="1" t="s">
        <v>17</v>
      </c>
    </row>
    <row r="10" spans="1:10" ht="28.8" x14ac:dyDescent="0.3">
      <c r="A10" s="1">
        <v>27</v>
      </c>
      <c r="B10" s="1" t="s">
        <v>45</v>
      </c>
      <c r="C10" s="1" t="s">
        <v>10</v>
      </c>
      <c r="D10" s="1" t="s">
        <v>19</v>
      </c>
      <c r="E10" s="1" t="s">
        <v>12</v>
      </c>
      <c r="F10" s="1" t="s">
        <v>13</v>
      </c>
      <c r="G10" s="1">
        <v>50000</v>
      </c>
      <c r="H10" s="1">
        <v>50000</v>
      </c>
      <c r="I10" s="1">
        <v>0</v>
      </c>
      <c r="J10" s="1" t="s">
        <v>14</v>
      </c>
    </row>
    <row r="11" spans="1:10" ht="28.8" x14ac:dyDescent="0.3">
      <c r="A11" s="1">
        <v>28</v>
      </c>
      <c r="B11" s="1" t="s">
        <v>46</v>
      </c>
      <c r="C11" s="1" t="s">
        <v>16</v>
      </c>
      <c r="D11" s="1" t="s">
        <v>19</v>
      </c>
      <c r="E11" s="1" t="s">
        <v>12</v>
      </c>
      <c r="F11" s="1" t="s">
        <v>13</v>
      </c>
      <c r="G11" s="1">
        <v>50000</v>
      </c>
      <c r="H11" s="1">
        <v>50000</v>
      </c>
      <c r="I11" s="1">
        <v>0</v>
      </c>
      <c r="J11" s="1" t="s">
        <v>14</v>
      </c>
    </row>
    <row r="12" spans="1:10" ht="28.8" x14ac:dyDescent="0.3">
      <c r="A12" s="1">
        <v>33</v>
      </c>
      <c r="B12" s="1" t="s">
        <v>51</v>
      </c>
      <c r="C12" s="1" t="s">
        <v>10</v>
      </c>
      <c r="D12" s="1" t="s">
        <v>19</v>
      </c>
      <c r="E12" s="1" t="s">
        <v>12</v>
      </c>
      <c r="F12" s="1" t="s">
        <v>70</v>
      </c>
      <c r="G12" s="1">
        <v>25000</v>
      </c>
      <c r="H12" s="1">
        <v>50000</v>
      </c>
      <c r="I12" s="1">
        <v>25000</v>
      </c>
      <c r="J12" s="1" t="s">
        <v>17</v>
      </c>
    </row>
    <row r="13" spans="1:10" ht="28.8" x14ac:dyDescent="0.3">
      <c r="A13" s="1">
        <v>34</v>
      </c>
      <c r="B13" s="1" t="s">
        <v>52</v>
      </c>
      <c r="C13" s="1" t="s">
        <v>16</v>
      </c>
      <c r="D13" s="1" t="s">
        <v>19</v>
      </c>
      <c r="E13" s="1" t="s">
        <v>12</v>
      </c>
      <c r="F13" s="1" t="s">
        <v>13</v>
      </c>
      <c r="G13" s="1">
        <v>50000</v>
      </c>
      <c r="H13" s="1">
        <v>50000</v>
      </c>
      <c r="I13" s="1">
        <v>0</v>
      </c>
      <c r="J13" s="1" t="s">
        <v>14</v>
      </c>
    </row>
    <row r="14" spans="1:10" x14ac:dyDescent="0.3">
      <c r="A14" s="1">
        <v>39</v>
      </c>
      <c r="B14" s="1" t="s">
        <v>57</v>
      </c>
      <c r="C14" s="1" t="s">
        <v>10</v>
      </c>
      <c r="D14" s="1" t="s">
        <v>19</v>
      </c>
      <c r="E14" s="1" t="s">
        <v>12</v>
      </c>
      <c r="F14" s="1" t="s">
        <v>13</v>
      </c>
      <c r="G14" s="1">
        <v>50000</v>
      </c>
      <c r="H14" s="1">
        <v>50000</v>
      </c>
      <c r="I14" s="1">
        <v>0</v>
      </c>
      <c r="J14" s="1" t="s">
        <v>14</v>
      </c>
    </row>
    <row r="15" spans="1:10" ht="28.8" x14ac:dyDescent="0.3">
      <c r="A15" s="1">
        <v>40</v>
      </c>
      <c r="B15" s="1" t="s">
        <v>58</v>
      </c>
      <c r="C15" s="1" t="s">
        <v>16</v>
      </c>
      <c r="D15" s="1" t="s">
        <v>19</v>
      </c>
      <c r="E15" s="1" t="s">
        <v>12</v>
      </c>
      <c r="F15" s="1" t="s">
        <v>70</v>
      </c>
      <c r="G15" s="1">
        <v>50000</v>
      </c>
      <c r="H15" s="1">
        <v>50000</v>
      </c>
      <c r="I15" s="1">
        <v>0</v>
      </c>
      <c r="J15" s="1" t="s">
        <v>14</v>
      </c>
    </row>
    <row r="16" spans="1:10" ht="28.8" x14ac:dyDescent="0.3">
      <c r="A16" s="1">
        <v>45</v>
      </c>
      <c r="B16" s="1" t="s">
        <v>63</v>
      </c>
      <c r="C16" s="1" t="s">
        <v>10</v>
      </c>
      <c r="D16" s="1" t="s">
        <v>19</v>
      </c>
      <c r="E16" s="1" t="s">
        <v>12</v>
      </c>
      <c r="F16" s="1" t="s">
        <v>70</v>
      </c>
      <c r="G16" s="1">
        <v>50000</v>
      </c>
      <c r="H16" s="1">
        <v>50000</v>
      </c>
      <c r="I16" s="1">
        <v>0</v>
      </c>
      <c r="J16" s="1" t="s">
        <v>14</v>
      </c>
    </row>
    <row r="17" spans="1:10" ht="28.8" x14ac:dyDescent="0.3">
      <c r="A17" s="1">
        <v>46</v>
      </c>
      <c r="B17" s="1" t="s">
        <v>64</v>
      </c>
      <c r="C17" s="1" t="s">
        <v>16</v>
      </c>
      <c r="D17" s="1" t="s">
        <v>19</v>
      </c>
      <c r="E17" s="1" t="s">
        <v>12</v>
      </c>
      <c r="F17" s="1" t="s">
        <v>13</v>
      </c>
      <c r="G17" s="1">
        <v>25000</v>
      </c>
      <c r="H17" s="1">
        <v>50000</v>
      </c>
      <c r="I17" s="1">
        <v>25000</v>
      </c>
      <c r="J17" s="1" t="s">
        <v>17</v>
      </c>
    </row>
  </sheetData>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F34DF-E57D-4865-BA4C-ECB8C6911EE5}">
  <sheetPr codeName="Sheet3"/>
  <dimension ref="A1:J17"/>
  <sheetViews>
    <sheetView workbookViewId="0">
      <selection activeCell="E8" sqref="E8"/>
    </sheetView>
  </sheetViews>
  <sheetFormatPr defaultRowHeight="14.4" x14ac:dyDescent="0.3"/>
  <cols>
    <col min="1" max="1" width="7.21875" bestFit="1" customWidth="1"/>
    <col min="2" max="2" width="10.44140625" bestFit="1" customWidth="1"/>
    <col min="3" max="3" width="11.5546875" bestFit="1" customWidth="1"/>
    <col min="4" max="4" width="9.5546875" bestFit="1" customWidth="1"/>
    <col min="5" max="5" width="11.6640625" bestFit="1" customWidth="1"/>
    <col min="6" max="6" width="9.77734375" bestFit="1" customWidth="1"/>
    <col min="7" max="7" width="16.44140625" bestFit="1" customWidth="1"/>
    <col min="8" max="8" width="13" bestFit="1" customWidth="1"/>
    <col min="9" max="9" width="12" bestFit="1" customWidth="1"/>
    <col min="10" max="10" width="10.6640625" bestFit="1" customWidth="1"/>
  </cols>
  <sheetData>
    <row r="1" spans="1:10" x14ac:dyDescent="0.3">
      <c r="A1" s="7" t="s">
        <v>7</v>
      </c>
      <c r="B1" s="7" t="s">
        <v>0</v>
      </c>
      <c r="C1" s="7" t="s">
        <v>1</v>
      </c>
      <c r="D1" s="7" t="s">
        <v>2</v>
      </c>
      <c r="E1" s="7" t="s">
        <v>3</v>
      </c>
      <c r="F1" s="7" t="s">
        <v>4</v>
      </c>
      <c r="G1" s="7" t="s">
        <v>5</v>
      </c>
      <c r="H1" s="7" t="s">
        <v>6</v>
      </c>
      <c r="I1" s="7" t="s">
        <v>69</v>
      </c>
      <c r="J1" s="7" t="s">
        <v>8</v>
      </c>
    </row>
    <row r="2" spans="1:10" ht="28.8" x14ac:dyDescent="0.3">
      <c r="A2" s="1">
        <v>5</v>
      </c>
      <c r="B2" s="1" t="s">
        <v>22</v>
      </c>
      <c r="C2" s="1" t="s">
        <v>10</v>
      </c>
      <c r="D2" s="1" t="s">
        <v>23</v>
      </c>
      <c r="E2" s="1" t="s">
        <v>12</v>
      </c>
      <c r="F2" s="1" t="s">
        <v>13</v>
      </c>
      <c r="G2" s="1">
        <v>25000</v>
      </c>
      <c r="H2" s="1">
        <v>50000</v>
      </c>
      <c r="I2" s="1">
        <v>25000</v>
      </c>
      <c r="J2" s="1" t="s">
        <v>17</v>
      </c>
    </row>
    <row r="3" spans="1:10" ht="28.8" x14ac:dyDescent="0.3">
      <c r="A3" s="1">
        <v>6</v>
      </c>
      <c r="B3" s="1" t="s">
        <v>24</v>
      </c>
      <c r="C3" s="1" t="s">
        <v>16</v>
      </c>
      <c r="D3" s="1" t="s">
        <v>23</v>
      </c>
      <c r="E3" s="1" t="s">
        <v>12</v>
      </c>
      <c r="F3" s="1" t="s">
        <v>13</v>
      </c>
      <c r="G3" s="1">
        <v>50000</v>
      </c>
      <c r="H3" s="1">
        <v>50000</v>
      </c>
      <c r="I3" s="1">
        <v>0</v>
      </c>
      <c r="J3" s="1" t="s">
        <v>14</v>
      </c>
    </row>
    <row r="4" spans="1:10" ht="28.8" x14ac:dyDescent="0.3">
      <c r="A4" s="1">
        <v>11</v>
      </c>
      <c r="B4" s="1" t="s">
        <v>29</v>
      </c>
      <c r="C4" s="1" t="s">
        <v>10</v>
      </c>
      <c r="D4" s="1" t="s">
        <v>23</v>
      </c>
      <c r="E4" s="1" t="s">
        <v>12</v>
      </c>
      <c r="F4" s="1" t="s">
        <v>13</v>
      </c>
      <c r="G4" s="1">
        <v>50000</v>
      </c>
      <c r="H4" s="1">
        <v>50000</v>
      </c>
      <c r="I4" s="1">
        <v>0</v>
      </c>
      <c r="J4" s="1" t="s">
        <v>14</v>
      </c>
    </row>
    <row r="5" spans="1:10" ht="28.8" x14ac:dyDescent="0.3">
      <c r="A5" s="1">
        <v>12</v>
      </c>
      <c r="B5" s="1" t="s">
        <v>30</v>
      </c>
      <c r="C5" s="1" t="s">
        <v>16</v>
      </c>
      <c r="D5" s="1" t="s">
        <v>23</v>
      </c>
      <c r="E5" s="1" t="s">
        <v>12</v>
      </c>
      <c r="F5" s="1" t="s">
        <v>13</v>
      </c>
      <c r="G5" s="1">
        <v>20000</v>
      </c>
      <c r="H5" s="1">
        <v>50000</v>
      </c>
      <c r="I5" s="1">
        <v>30000</v>
      </c>
      <c r="J5" s="1" t="s">
        <v>17</v>
      </c>
    </row>
    <row r="6" spans="1:10" ht="28.8" x14ac:dyDescent="0.3">
      <c r="A6" s="1">
        <v>17</v>
      </c>
      <c r="B6" s="1" t="s">
        <v>35</v>
      </c>
      <c r="C6" s="1" t="s">
        <v>10</v>
      </c>
      <c r="D6" s="1" t="s">
        <v>23</v>
      </c>
      <c r="E6" s="1" t="s">
        <v>12</v>
      </c>
      <c r="F6" s="1" t="s">
        <v>13</v>
      </c>
      <c r="G6" s="1">
        <v>0</v>
      </c>
      <c r="H6" s="1">
        <v>50000</v>
      </c>
      <c r="I6" s="1">
        <v>50000</v>
      </c>
      <c r="J6" s="1" t="s">
        <v>20</v>
      </c>
    </row>
    <row r="7" spans="1:10" ht="28.8" x14ac:dyDescent="0.3">
      <c r="A7" s="1">
        <v>18</v>
      </c>
      <c r="B7" s="1" t="s">
        <v>36</v>
      </c>
      <c r="C7" s="1" t="s">
        <v>16</v>
      </c>
      <c r="D7" s="1" t="s">
        <v>23</v>
      </c>
      <c r="E7" s="1" t="s">
        <v>12</v>
      </c>
      <c r="F7" s="1" t="s">
        <v>70</v>
      </c>
      <c r="G7" s="1">
        <v>50000</v>
      </c>
      <c r="H7" s="1">
        <v>50000</v>
      </c>
      <c r="I7" s="1">
        <v>0</v>
      </c>
      <c r="J7" s="1" t="s">
        <v>14</v>
      </c>
    </row>
    <row r="8" spans="1:10" ht="28.8" x14ac:dyDescent="0.3">
      <c r="A8" s="1">
        <v>23</v>
      </c>
      <c r="B8" s="1" t="s">
        <v>41</v>
      </c>
      <c r="C8" s="1" t="s">
        <v>10</v>
      </c>
      <c r="D8" s="1" t="s">
        <v>23</v>
      </c>
      <c r="E8" s="1" t="s">
        <v>12</v>
      </c>
      <c r="F8" s="1" t="s">
        <v>13</v>
      </c>
      <c r="G8" s="1">
        <v>50000</v>
      </c>
      <c r="H8" s="1">
        <v>50000</v>
      </c>
      <c r="I8" s="1">
        <v>0</v>
      </c>
      <c r="J8" s="1" t="s">
        <v>14</v>
      </c>
    </row>
    <row r="9" spans="1:10" ht="28.8" x14ac:dyDescent="0.3">
      <c r="A9" s="1">
        <v>24</v>
      </c>
      <c r="B9" s="1" t="s">
        <v>42</v>
      </c>
      <c r="C9" s="1" t="s">
        <v>16</v>
      </c>
      <c r="D9" s="1" t="s">
        <v>23</v>
      </c>
      <c r="E9" s="1" t="s">
        <v>12</v>
      </c>
      <c r="F9" s="1" t="s">
        <v>70</v>
      </c>
      <c r="G9" s="1">
        <v>0</v>
      </c>
      <c r="H9" s="1">
        <v>50000</v>
      </c>
      <c r="I9" s="1">
        <v>50000</v>
      </c>
      <c r="J9" s="1" t="s">
        <v>20</v>
      </c>
    </row>
    <row r="10" spans="1:10" x14ac:dyDescent="0.3">
      <c r="A10" s="1">
        <v>29</v>
      </c>
      <c r="B10" s="1" t="s">
        <v>47</v>
      </c>
      <c r="C10" s="1" t="s">
        <v>10</v>
      </c>
      <c r="D10" s="1" t="s">
        <v>23</v>
      </c>
      <c r="E10" s="1" t="s">
        <v>12</v>
      </c>
      <c r="F10" s="1" t="s">
        <v>70</v>
      </c>
      <c r="G10" s="1">
        <v>20000</v>
      </c>
      <c r="H10" s="1">
        <v>50000</v>
      </c>
      <c r="I10" s="1">
        <v>30000</v>
      </c>
      <c r="J10" s="1" t="s">
        <v>17</v>
      </c>
    </row>
    <row r="11" spans="1:10" ht="28.8" x14ac:dyDescent="0.3">
      <c r="A11" s="1">
        <v>30</v>
      </c>
      <c r="B11" s="1" t="s">
        <v>48</v>
      </c>
      <c r="C11" s="1" t="s">
        <v>16</v>
      </c>
      <c r="D11" s="1" t="s">
        <v>23</v>
      </c>
      <c r="E11" s="1" t="s">
        <v>12</v>
      </c>
      <c r="F11" s="1" t="s">
        <v>13</v>
      </c>
      <c r="G11" s="1">
        <v>50000</v>
      </c>
      <c r="H11" s="1">
        <v>50000</v>
      </c>
      <c r="I11" s="1">
        <v>0</v>
      </c>
      <c r="J11" s="1" t="s">
        <v>14</v>
      </c>
    </row>
    <row r="12" spans="1:10" ht="28.8" x14ac:dyDescent="0.3">
      <c r="A12" s="1">
        <v>35</v>
      </c>
      <c r="B12" s="1" t="s">
        <v>53</v>
      </c>
      <c r="C12" s="1" t="s">
        <v>10</v>
      </c>
      <c r="D12" s="1" t="s">
        <v>23</v>
      </c>
      <c r="E12" s="1" t="s">
        <v>12</v>
      </c>
      <c r="F12" s="1" t="s">
        <v>13</v>
      </c>
      <c r="G12" s="1">
        <v>50000</v>
      </c>
      <c r="H12" s="1">
        <v>50000</v>
      </c>
      <c r="I12" s="1">
        <v>0</v>
      </c>
      <c r="J12" s="1" t="s">
        <v>14</v>
      </c>
    </row>
    <row r="13" spans="1:10" ht="28.8" x14ac:dyDescent="0.3">
      <c r="A13" s="1">
        <v>36</v>
      </c>
      <c r="B13" s="1" t="s">
        <v>54</v>
      </c>
      <c r="C13" s="1" t="s">
        <v>16</v>
      </c>
      <c r="D13" s="1" t="s">
        <v>23</v>
      </c>
      <c r="E13" s="1" t="s">
        <v>12</v>
      </c>
      <c r="F13" s="1" t="s">
        <v>70</v>
      </c>
      <c r="G13" s="1">
        <v>20000</v>
      </c>
      <c r="H13" s="1">
        <v>50000</v>
      </c>
      <c r="I13" s="1">
        <v>30000</v>
      </c>
      <c r="J13" s="1" t="s">
        <v>17</v>
      </c>
    </row>
    <row r="14" spans="1:10" x14ac:dyDescent="0.3">
      <c r="A14" s="1">
        <v>41</v>
      </c>
      <c r="B14" s="1" t="s">
        <v>59</v>
      </c>
      <c r="C14" s="1" t="s">
        <v>10</v>
      </c>
      <c r="D14" s="1" t="s">
        <v>23</v>
      </c>
      <c r="E14" s="1" t="s">
        <v>12</v>
      </c>
      <c r="F14" s="1" t="s">
        <v>13</v>
      </c>
      <c r="G14" s="1">
        <v>30000</v>
      </c>
      <c r="H14" s="1">
        <v>50000</v>
      </c>
      <c r="I14" s="1">
        <v>20000</v>
      </c>
      <c r="J14" s="1" t="s">
        <v>17</v>
      </c>
    </row>
    <row r="15" spans="1:10" ht="28.8" x14ac:dyDescent="0.3">
      <c r="A15" s="1">
        <v>42</v>
      </c>
      <c r="B15" s="1" t="s">
        <v>60</v>
      </c>
      <c r="C15" s="1" t="s">
        <v>16</v>
      </c>
      <c r="D15" s="1" t="s">
        <v>23</v>
      </c>
      <c r="E15" s="1" t="s">
        <v>12</v>
      </c>
      <c r="F15" s="1" t="s">
        <v>13</v>
      </c>
      <c r="G15" s="1">
        <v>50000</v>
      </c>
      <c r="H15" s="1">
        <v>50000</v>
      </c>
      <c r="I15" s="1">
        <v>0</v>
      </c>
      <c r="J15" s="1" t="s">
        <v>14</v>
      </c>
    </row>
    <row r="16" spans="1:10" x14ac:dyDescent="0.3">
      <c r="A16" s="1">
        <v>47</v>
      </c>
      <c r="B16" s="1" t="s">
        <v>65</v>
      </c>
      <c r="C16" s="1" t="s">
        <v>10</v>
      </c>
      <c r="D16" s="1" t="s">
        <v>23</v>
      </c>
      <c r="E16" s="1" t="s">
        <v>12</v>
      </c>
      <c r="F16" s="1" t="s">
        <v>70</v>
      </c>
      <c r="G16" s="1">
        <v>50000</v>
      </c>
      <c r="H16" s="1">
        <v>50000</v>
      </c>
      <c r="I16" s="1">
        <v>0</v>
      </c>
      <c r="J16" s="1" t="s">
        <v>14</v>
      </c>
    </row>
    <row r="17" spans="1:10" ht="28.8" x14ac:dyDescent="0.3">
      <c r="A17" s="1">
        <v>48</v>
      </c>
      <c r="B17" s="1" t="s">
        <v>66</v>
      </c>
      <c r="C17" s="1" t="s">
        <v>16</v>
      </c>
      <c r="D17" s="1" t="s">
        <v>23</v>
      </c>
      <c r="E17" s="1" t="s">
        <v>12</v>
      </c>
      <c r="F17" s="1" t="s">
        <v>13</v>
      </c>
      <c r="G17" s="1">
        <v>50000</v>
      </c>
      <c r="H17" s="1">
        <v>50000</v>
      </c>
      <c r="I17" s="1">
        <v>0</v>
      </c>
      <c r="J17" s="1" t="s">
        <v>14</v>
      </c>
    </row>
  </sheetData>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A110D-C97D-4F5A-893C-ECDE9931D298}">
  <sheetPr codeName="Sheet4"/>
  <dimension ref="A1:J51"/>
  <sheetViews>
    <sheetView workbookViewId="0">
      <selection activeCell="G9" sqref="G9"/>
    </sheetView>
  </sheetViews>
  <sheetFormatPr defaultRowHeight="14.4" x14ac:dyDescent="0.3"/>
  <cols>
    <col min="1" max="1" width="7.21875" style="9" bestFit="1" customWidth="1"/>
    <col min="2" max="2" width="15.88671875" style="3" customWidth="1"/>
    <col min="3" max="3" width="15.109375" style="9" customWidth="1"/>
    <col min="4" max="4" width="14.5546875" style="9" customWidth="1"/>
    <col min="5" max="5" width="16.21875" style="9" customWidth="1"/>
    <col min="6" max="6" width="15" style="9" customWidth="1"/>
    <col min="7" max="7" width="15.44140625" style="18" customWidth="1"/>
    <col min="8" max="8" width="16.21875" style="18" customWidth="1"/>
    <col min="9" max="9" width="16.88671875" style="18" customWidth="1"/>
    <col min="10" max="10" width="10.6640625" style="9" bestFit="1" customWidth="1"/>
  </cols>
  <sheetData>
    <row r="1" spans="1:10" x14ac:dyDescent="0.3">
      <c r="A1" s="7" t="s">
        <v>7</v>
      </c>
      <c r="B1" s="10" t="s">
        <v>0</v>
      </c>
      <c r="C1" s="7" t="s">
        <v>1</v>
      </c>
      <c r="D1" s="7" t="s">
        <v>2</v>
      </c>
      <c r="E1" s="7" t="s">
        <v>3</v>
      </c>
      <c r="F1" s="7" t="s">
        <v>4</v>
      </c>
      <c r="G1" s="16" t="s">
        <v>5</v>
      </c>
      <c r="H1" s="16" t="s">
        <v>6</v>
      </c>
      <c r="I1" s="16" t="s">
        <v>69</v>
      </c>
      <c r="J1" s="7" t="s">
        <v>8</v>
      </c>
    </row>
    <row r="2" spans="1:10" x14ac:dyDescent="0.3">
      <c r="A2" s="9">
        <v>1</v>
      </c>
      <c r="B2" s="11" t="s">
        <v>9</v>
      </c>
      <c r="C2" s="6" t="s">
        <v>10</v>
      </c>
      <c r="D2" s="6" t="s">
        <v>11</v>
      </c>
      <c r="E2" s="6" t="s">
        <v>12</v>
      </c>
      <c r="F2" s="6" t="s">
        <v>70</v>
      </c>
      <c r="G2" s="17">
        <v>50000</v>
      </c>
      <c r="H2" s="17">
        <v>50000</v>
      </c>
      <c r="I2" s="17">
        <f>Table8[[#This Row],[Total Fee]]-Table8[[#This Row],[Amount Paid]]</f>
        <v>0</v>
      </c>
      <c r="J2" s="6" t="str">
        <f>IF(Table8[[#This Row],[Amount Paid]]=0,"Unpaid",IF(Table8[[#This Row],[Amount Paid]]&lt;Table8[[#This Row],[Total Fee]],"Deposit","Paid"))</f>
        <v>Paid</v>
      </c>
    </row>
    <row r="3" spans="1:10" x14ac:dyDescent="0.3">
      <c r="A3" s="9">
        <v>2</v>
      </c>
      <c r="B3" s="11" t="s">
        <v>15</v>
      </c>
      <c r="C3" s="6" t="s">
        <v>16</v>
      </c>
      <c r="D3" s="6" t="s">
        <v>11</v>
      </c>
      <c r="E3" s="6" t="s">
        <v>12</v>
      </c>
      <c r="F3" s="6" t="s">
        <v>70</v>
      </c>
      <c r="G3" s="17">
        <v>50000</v>
      </c>
      <c r="H3" s="17">
        <v>50000</v>
      </c>
      <c r="I3" s="17">
        <f>Table8[[#This Row],[Total Fee]]-Table8[[#This Row],[Amount Paid]]</f>
        <v>0</v>
      </c>
      <c r="J3" s="6" t="str">
        <f>IF(Table8[[#This Row],[Amount Paid]]=0,"Unpaid",IF(Table8[[#This Row],[Amount Paid]]&lt;Table8[[#This Row],[Total Fee]],"Deposit","Paid"))</f>
        <v>Paid</v>
      </c>
    </row>
    <row r="4" spans="1:10" x14ac:dyDescent="0.3">
      <c r="A4" s="9">
        <v>3</v>
      </c>
      <c r="B4" s="11" t="s">
        <v>25</v>
      </c>
      <c r="C4" s="6" t="s">
        <v>10</v>
      </c>
      <c r="D4" s="6" t="s">
        <v>11</v>
      </c>
      <c r="E4" s="6" t="s">
        <v>12</v>
      </c>
      <c r="F4" s="6" t="s">
        <v>70</v>
      </c>
      <c r="G4" s="17">
        <v>50000</v>
      </c>
      <c r="H4" s="17">
        <v>50000</v>
      </c>
      <c r="I4" s="17">
        <f>Table8[[#This Row],[Total Fee]]-Table8[[#This Row],[Amount Paid]]</f>
        <v>0</v>
      </c>
      <c r="J4" s="6" t="str">
        <f>IF(Table8[[#This Row],[Amount Paid]]=0,"Unpaid",IF(Table8[[#This Row],[Amount Paid]]&lt;Table8[[#This Row],[Total Fee]],"Deposit","Paid"))</f>
        <v>Paid</v>
      </c>
    </row>
    <row r="5" spans="1:10" x14ac:dyDescent="0.3">
      <c r="A5" s="9">
        <v>4</v>
      </c>
      <c r="B5" s="11" t="s">
        <v>26</v>
      </c>
      <c r="C5" s="6" t="s">
        <v>16</v>
      </c>
      <c r="D5" s="6" t="s">
        <v>11</v>
      </c>
      <c r="E5" s="6" t="s">
        <v>12</v>
      </c>
      <c r="F5" s="6" t="s">
        <v>70</v>
      </c>
      <c r="G5" s="17">
        <v>50000</v>
      </c>
      <c r="H5" s="17">
        <v>50000</v>
      </c>
      <c r="I5" s="17">
        <f>Table8[[#This Row],[Total Fee]]-Table8[[#This Row],[Amount Paid]]</f>
        <v>0</v>
      </c>
      <c r="J5" s="6" t="str">
        <f>IF(Table8[[#This Row],[Amount Paid]]=0,"Unpaid",IF(Table8[[#This Row],[Amount Paid]]&lt;Table8[[#This Row],[Total Fee]],"Deposit","Paid"))</f>
        <v>Paid</v>
      </c>
    </row>
    <row r="6" spans="1:10" x14ac:dyDescent="0.3">
      <c r="A6" s="9">
        <v>5</v>
      </c>
      <c r="B6" s="11" t="s">
        <v>31</v>
      </c>
      <c r="C6" s="6" t="s">
        <v>10</v>
      </c>
      <c r="D6" s="6" t="s">
        <v>11</v>
      </c>
      <c r="E6" s="6" t="s">
        <v>12</v>
      </c>
      <c r="F6" s="6" t="s">
        <v>13</v>
      </c>
      <c r="G6" s="17">
        <v>50000</v>
      </c>
      <c r="H6" s="17">
        <v>50000</v>
      </c>
      <c r="I6" s="17">
        <f>Table8[[#This Row],[Total Fee]]-Table8[[#This Row],[Amount Paid]]</f>
        <v>0</v>
      </c>
      <c r="J6" s="6" t="str">
        <f>IF(Table8[[#This Row],[Amount Paid]]=0,"Unpaid",IF(Table8[[#This Row],[Amount Paid]]&lt;Table8[[#This Row],[Total Fee]],"Deposit","Paid"))</f>
        <v>Paid</v>
      </c>
    </row>
    <row r="7" spans="1:10" x14ac:dyDescent="0.3">
      <c r="A7" s="9">
        <v>6</v>
      </c>
      <c r="B7" s="11" t="s">
        <v>32</v>
      </c>
      <c r="C7" s="6" t="s">
        <v>16</v>
      </c>
      <c r="D7" s="6" t="s">
        <v>11</v>
      </c>
      <c r="E7" s="6" t="s">
        <v>12</v>
      </c>
      <c r="F7" s="6" t="s">
        <v>13</v>
      </c>
      <c r="G7" s="17">
        <v>25000</v>
      </c>
      <c r="H7" s="17">
        <v>50000</v>
      </c>
      <c r="I7" s="17">
        <f>Table8[[#This Row],[Total Fee]]-Table8[[#This Row],[Amount Paid]]</f>
        <v>25000</v>
      </c>
      <c r="J7" s="6" t="str">
        <f>IF(Table8[[#This Row],[Amount Paid]]=0,"Unpaid",IF(Table8[[#This Row],[Amount Paid]]&lt;Table8[[#This Row],[Total Fee]],"Deposit","Paid"))</f>
        <v>Deposit</v>
      </c>
    </row>
    <row r="8" spans="1:10" x14ac:dyDescent="0.3">
      <c r="A8" s="9">
        <v>7</v>
      </c>
      <c r="B8" s="11" t="s">
        <v>37</v>
      </c>
      <c r="C8" s="6" t="s">
        <v>10</v>
      </c>
      <c r="D8" s="6" t="s">
        <v>11</v>
      </c>
      <c r="E8" s="6" t="s">
        <v>12</v>
      </c>
      <c r="F8" s="6" t="s">
        <v>13</v>
      </c>
      <c r="G8" s="17">
        <v>2000</v>
      </c>
      <c r="H8" s="17">
        <v>50000</v>
      </c>
      <c r="I8" s="17">
        <f>Table8[[#This Row],[Total Fee]]-Table8[[#This Row],[Amount Paid]]</f>
        <v>48000</v>
      </c>
      <c r="J8" s="6" t="str">
        <f>IF(Table8[[#This Row],[Amount Paid]]=0,"Unpaid",IF(Table8[[#This Row],[Amount Paid]]&lt;Table8[[#This Row],[Total Fee]],"Deposit","Paid"))</f>
        <v>Deposit</v>
      </c>
    </row>
    <row r="9" spans="1:10" x14ac:dyDescent="0.3">
      <c r="A9" s="9">
        <v>8</v>
      </c>
      <c r="B9" s="11" t="s">
        <v>38</v>
      </c>
      <c r="C9" s="6" t="s">
        <v>16</v>
      </c>
      <c r="D9" s="6" t="s">
        <v>11</v>
      </c>
      <c r="E9" s="6" t="s">
        <v>12</v>
      </c>
      <c r="F9" s="6" t="s">
        <v>70</v>
      </c>
      <c r="G9" s="17">
        <v>50000</v>
      </c>
      <c r="H9" s="17">
        <v>50000</v>
      </c>
      <c r="I9" s="17">
        <f>Table8[[#This Row],[Total Fee]]-Table8[[#This Row],[Amount Paid]]</f>
        <v>0</v>
      </c>
      <c r="J9" s="6" t="str">
        <f>IF(Table8[[#This Row],[Amount Paid]]=0,"Unpaid",IF(Table8[[#This Row],[Amount Paid]]&lt;Table8[[#This Row],[Total Fee]],"Deposit","Paid"))</f>
        <v>Paid</v>
      </c>
    </row>
    <row r="10" spans="1:10" x14ac:dyDescent="0.3">
      <c r="A10" s="9">
        <v>9</v>
      </c>
      <c r="B10" s="11" t="s">
        <v>43</v>
      </c>
      <c r="C10" s="6" t="s">
        <v>10</v>
      </c>
      <c r="D10" s="6" t="s">
        <v>11</v>
      </c>
      <c r="E10" s="6" t="s">
        <v>12</v>
      </c>
      <c r="F10" s="6" t="s">
        <v>13</v>
      </c>
      <c r="G10" s="17">
        <v>50000</v>
      </c>
      <c r="H10" s="17">
        <v>50000</v>
      </c>
      <c r="I10" s="17">
        <f>Table8[[#This Row],[Total Fee]]-Table8[[#This Row],[Amount Paid]]</f>
        <v>0</v>
      </c>
      <c r="J10" s="6" t="str">
        <f>IF(Table8[[#This Row],[Amount Paid]]=0,"Unpaid",IF(Table8[[#This Row],[Amount Paid]]&lt;Table8[[#This Row],[Total Fee]],"Deposit","Paid"))</f>
        <v>Paid</v>
      </c>
    </row>
    <row r="11" spans="1:10" x14ac:dyDescent="0.3">
      <c r="A11" s="9">
        <v>10</v>
      </c>
      <c r="B11" s="11" t="s">
        <v>44</v>
      </c>
      <c r="C11" s="6" t="s">
        <v>16</v>
      </c>
      <c r="D11" s="6" t="s">
        <v>11</v>
      </c>
      <c r="E11" s="6" t="s">
        <v>12</v>
      </c>
      <c r="F11" s="6" t="s">
        <v>13</v>
      </c>
      <c r="G11" s="17">
        <v>30000</v>
      </c>
      <c r="H11" s="17">
        <v>50000</v>
      </c>
      <c r="I11" s="17">
        <f>Table8[[#This Row],[Total Fee]]-Table8[[#This Row],[Amount Paid]]</f>
        <v>20000</v>
      </c>
      <c r="J11" s="6" t="str">
        <f>IF(Table8[[#This Row],[Amount Paid]]=0,"Unpaid",IF(Table8[[#This Row],[Amount Paid]]&lt;Table8[[#This Row],[Total Fee]],"Deposit","Paid"))</f>
        <v>Deposit</v>
      </c>
    </row>
    <row r="12" spans="1:10" x14ac:dyDescent="0.3">
      <c r="A12" s="9">
        <v>11</v>
      </c>
      <c r="B12" s="11" t="s">
        <v>49</v>
      </c>
      <c r="C12" s="6" t="s">
        <v>10</v>
      </c>
      <c r="D12" s="6" t="s">
        <v>11</v>
      </c>
      <c r="E12" s="6" t="s">
        <v>12</v>
      </c>
      <c r="F12" s="6" t="s">
        <v>13</v>
      </c>
      <c r="G12" s="17">
        <v>0</v>
      </c>
      <c r="H12" s="17">
        <v>50000</v>
      </c>
      <c r="I12" s="17">
        <f>Table8[[#This Row],[Total Fee]]-Table8[[#This Row],[Amount Paid]]</f>
        <v>50000</v>
      </c>
      <c r="J12" s="6" t="str">
        <f>IF(Table8[[#This Row],[Amount Paid]]=0,"Unpaid",IF(Table8[[#This Row],[Amount Paid]]&lt;Table8[[#This Row],[Total Fee]],"Deposit","Paid"))</f>
        <v>Unpaid</v>
      </c>
    </row>
    <row r="13" spans="1:10" x14ac:dyDescent="0.3">
      <c r="A13" s="9">
        <v>12</v>
      </c>
      <c r="B13" s="11" t="s">
        <v>50</v>
      </c>
      <c r="C13" s="6" t="s">
        <v>16</v>
      </c>
      <c r="D13" s="6" t="s">
        <v>11</v>
      </c>
      <c r="E13" s="6" t="s">
        <v>12</v>
      </c>
      <c r="F13" s="6" t="s">
        <v>70</v>
      </c>
      <c r="G13" s="17">
        <v>50000</v>
      </c>
      <c r="H13" s="17">
        <v>50000</v>
      </c>
      <c r="I13" s="17">
        <f>Table8[[#This Row],[Total Fee]]-Table8[[#This Row],[Amount Paid]]</f>
        <v>0</v>
      </c>
      <c r="J13" s="6" t="str">
        <f>IF(Table8[[#This Row],[Amount Paid]]=0,"Unpaid",IF(Table8[[#This Row],[Amount Paid]]&lt;Table8[[#This Row],[Total Fee]],"Deposit","Paid"))</f>
        <v>Paid</v>
      </c>
    </row>
    <row r="14" spans="1:10" x14ac:dyDescent="0.3">
      <c r="A14" s="9">
        <v>13</v>
      </c>
      <c r="B14" s="11" t="s">
        <v>55</v>
      </c>
      <c r="C14" s="6" t="s">
        <v>10</v>
      </c>
      <c r="D14" s="6" t="s">
        <v>11</v>
      </c>
      <c r="E14" s="6" t="s">
        <v>12</v>
      </c>
      <c r="F14" s="6" t="s">
        <v>13</v>
      </c>
      <c r="G14" s="17">
        <v>50000</v>
      </c>
      <c r="H14" s="17">
        <v>50000</v>
      </c>
      <c r="I14" s="17">
        <f>Table8[[#This Row],[Total Fee]]-Table8[[#This Row],[Amount Paid]]</f>
        <v>0</v>
      </c>
      <c r="J14" s="6" t="str">
        <f>IF(Table8[[#This Row],[Amount Paid]]=0,"Unpaid",IF(Table8[[#This Row],[Amount Paid]]&lt;Table8[[#This Row],[Total Fee]],"Deposit","Paid"))</f>
        <v>Paid</v>
      </c>
    </row>
    <row r="15" spans="1:10" x14ac:dyDescent="0.3">
      <c r="A15" s="9">
        <v>14</v>
      </c>
      <c r="B15" s="11" t="s">
        <v>56</v>
      </c>
      <c r="C15" s="6" t="s">
        <v>16</v>
      </c>
      <c r="D15" s="6" t="s">
        <v>11</v>
      </c>
      <c r="E15" s="6" t="s">
        <v>12</v>
      </c>
      <c r="F15" s="6" t="s">
        <v>13</v>
      </c>
      <c r="G15" s="17">
        <v>15000</v>
      </c>
      <c r="H15" s="17">
        <v>50000</v>
      </c>
      <c r="I15" s="17">
        <f>Table8[[#This Row],[Total Fee]]-Table8[[#This Row],[Amount Paid]]</f>
        <v>35000</v>
      </c>
      <c r="J15" s="6" t="str">
        <f>IF(Table8[[#This Row],[Amount Paid]]=0,"Unpaid",IF(Table8[[#This Row],[Amount Paid]]&lt;Table8[[#This Row],[Total Fee]],"Deposit","Paid"))</f>
        <v>Deposit</v>
      </c>
    </row>
    <row r="16" spans="1:10" x14ac:dyDescent="0.3">
      <c r="A16" s="9">
        <v>15</v>
      </c>
      <c r="B16" s="11" t="s">
        <v>61</v>
      </c>
      <c r="C16" s="6" t="s">
        <v>10</v>
      </c>
      <c r="D16" s="6" t="s">
        <v>11</v>
      </c>
      <c r="E16" s="6" t="s">
        <v>12</v>
      </c>
      <c r="F16" s="6" t="s">
        <v>70</v>
      </c>
      <c r="G16" s="17">
        <v>50000</v>
      </c>
      <c r="H16" s="17">
        <v>50000</v>
      </c>
      <c r="I16" s="17">
        <f>Table8[[#This Row],[Total Fee]]-Table8[[#This Row],[Amount Paid]]</f>
        <v>0</v>
      </c>
      <c r="J16" s="6" t="str">
        <f>IF(Table8[[#This Row],[Amount Paid]]=0,"Unpaid",IF(Table8[[#This Row],[Amount Paid]]&lt;Table8[[#This Row],[Total Fee]],"Deposit","Paid"))</f>
        <v>Paid</v>
      </c>
    </row>
    <row r="17" spans="1:10" x14ac:dyDescent="0.3">
      <c r="A17" s="9">
        <v>16</v>
      </c>
      <c r="B17" s="11" t="s">
        <v>62</v>
      </c>
      <c r="C17" s="6" t="s">
        <v>16</v>
      </c>
      <c r="D17" s="6" t="s">
        <v>11</v>
      </c>
      <c r="E17" s="6" t="s">
        <v>12</v>
      </c>
      <c r="F17" s="6" t="s">
        <v>13</v>
      </c>
      <c r="G17" s="17">
        <v>0</v>
      </c>
      <c r="H17" s="17">
        <v>50000</v>
      </c>
      <c r="I17" s="17">
        <f>Table8[[#This Row],[Total Fee]]-Table8[[#This Row],[Amount Paid]]</f>
        <v>50000</v>
      </c>
      <c r="J17" s="6" t="str">
        <f>IF(Table8[[#This Row],[Amount Paid]]=0,"Unpaid",IF(Table8[[#This Row],[Amount Paid]]&lt;Table8[[#This Row],[Total Fee]],"Deposit","Paid"))</f>
        <v>Unpaid</v>
      </c>
    </row>
    <row r="18" spans="1:10" x14ac:dyDescent="0.3">
      <c r="A18" s="9">
        <v>17</v>
      </c>
      <c r="B18" s="11" t="s">
        <v>67</v>
      </c>
      <c r="C18" s="6" t="s">
        <v>10</v>
      </c>
      <c r="D18" s="6" t="s">
        <v>11</v>
      </c>
      <c r="E18" s="6" t="s">
        <v>12</v>
      </c>
      <c r="F18" s="6" t="s">
        <v>70</v>
      </c>
      <c r="G18" s="17">
        <v>20000</v>
      </c>
      <c r="H18" s="17">
        <v>50000</v>
      </c>
      <c r="I18" s="17">
        <f>Table8[[#This Row],[Total Fee]]-Table8[[#This Row],[Amount Paid]]</f>
        <v>30000</v>
      </c>
      <c r="J18" s="6" t="str">
        <f>IF(Table8[[#This Row],[Amount Paid]]=0,"Unpaid",IF(Table8[[#This Row],[Amount Paid]]&lt;Table8[[#This Row],[Total Fee]],"Deposit","Paid"))</f>
        <v>Deposit</v>
      </c>
    </row>
    <row r="19" spans="1:10" x14ac:dyDescent="0.3">
      <c r="A19" s="9">
        <v>18</v>
      </c>
      <c r="B19" s="11" t="s">
        <v>68</v>
      </c>
      <c r="C19" s="6" t="s">
        <v>16</v>
      </c>
      <c r="D19" s="6" t="s">
        <v>11</v>
      </c>
      <c r="E19" s="6" t="s">
        <v>12</v>
      </c>
      <c r="F19" s="6" t="s">
        <v>70</v>
      </c>
      <c r="G19" s="17">
        <v>50000</v>
      </c>
      <c r="H19" s="17">
        <v>50000</v>
      </c>
      <c r="I19" s="17">
        <f>Table8[[#This Row],[Total Fee]]-Table8[[#This Row],[Amount Paid]]</f>
        <v>0</v>
      </c>
      <c r="J19" s="6" t="str">
        <f>IF(Table8[[#This Row],[Amount Paid]]=0,"Unpaid",IF(Table8[[#This Row],[Amount Paid]]&lt;Table8[[#This Row],[Total Fee]],"Deposit","Paid"))</f>
        <v>Paid</v>
      </c>
    </row>
    <row r="20" spans="1:10" x14ac:dyDescent="0.3">
      <c r="A20" s="9">
        <v>19</v>
      </c>
      <c r="B20" s="11" t="s">
        <v>18</v>
      </c>
      <c r="C20" s="6" t="s">
        <v>10</v>
      </c>
      <c r="D20" s="6" t="s">
        <v>19</v>
      </c>
      <c r="E20" s="6" t="s">
        <v>12</v>
      </c>
      <c r="F20" s="6" t="s">
        <v>13</v>
      </c>
      <c r="G20" s="17">
        <v>0</v>
      </c>
      <c r="H20" s="17">
        <v>50000</v>
      </c>
      <c r="I20" s="17">
        <f>Table8[[#This Row],[Total Fee]]-Table8[[#This Row],[Amount Paid]]</f>
        <v>50000</v>
      </c>
      <c r="J20" s="6" t="str">
        <f>IF(Table8[[#This Row],[Amount Paid]]=0,"Unpaid",IF(Table8[[#This Row],[Amount Paid]]&lt;Table8[[#This Row],[Total Fee]],"Deposit","Paid"))</f>
        <v>Unpaid</v>
      </c>
    </row>
    <row r="21" spans="1:10" x14ac:dyDescent="0.3">
      <c r="A21" s="9">
        <v>20</v>
      </c>
      <c r="B21" s="11" t="s">
        <v>21</v>
      </c>
      <c r="C21" s="6" t="s">
        <v>16</v>
      </c>
      <c r="D21" s="6" t="s">
        <v>19</v>
      </c>
      <c r="E21" s="6" t="s">
        <v>12</v>
      </c>
      <c r="F21" s="6" t="s">
        <v>13</v>
      </c>
      <c r="G21" s="17">
        <v>50000</v>
      </c>
      <c r="H21" s="17">
        <v>50000</v>
      </c>
      <c r="I21" s="17">
        <f>Table8[[#This Row],[Total Fee]]-Table8[[#This Row],[Amount Paid]]</f>
        <v>0</v>
      </c>
      <c r="J21" s="6" t="str">
        <f>IF(Table8[[#This Row],[Amount Paid]]=0,"Unpaid",IF(Table8[[#This Row],[Amount Paid]]&lt;Table8[[#This Row],[Total Fee]],"Deposit","Paid"))</f>
        <v>Paid</v>
      </c>
    </row>
    <row r="22" spans="1:10" x14ac:dyDescent="0.3">
      <c r="A22" s="9">
        <v>21</v>
      </c>
      <c r="B22" s="11" t="s">
        <v>27</v>
      </c>
      <c r="C22" s="6" t="s">
        <v>10</v>
      </c>
      <c r="D22" s="6" t="s">
        <v>19</v>
      </c>
      <c r="E22" s="6" t="s">
        <v>12</v>
      </c>
      <c r="F22" s="6" t="s">
        <v>70</v>
      </c>
      <c r="G22" s="17">
        <v>30000</v>
      </c>
      <c r="H22" s="17">
        <v>50000</v>
      </c>
      <c r="I22" s="17">
        <f>Table8[[#This Row],[Total Fee]]-Table8[[#This Row],[Amount Paid]]</f>
        <v>20000</v>
      </c>
      <c r="J22" s="6" t="str">
        <f>IF(Table8[[#This Row],[Amount Paid]]=0,"Unpaid",IF(Table8[[#This Row],[Amount Paid]]&lt;Table8[[#This Row],[Total Fee]],"Deposit","Paid"))</f>
        <v>Deposit</v>
      </c>
    </row>
    <row r="23" spans="1:10" x14ac:dyDescent="0.3">
      <c r="A23" s="9">
        <v>22</v>
      </c>
      <c r="B23" s="11" t="s">
        <v>28</v>
      </c>
      <c r="C23" s="6" t="s">
        <v>16</v>
      </c>
      <c r="D23" s="6" t="s">
        <v>19</v>
      </c>
      <c r="E23" s="6" t="s">
        <v>12</v>
      </c>
      <c r="F23" s="6" t="s">
        <v>13</v>
      </c>
      <c r="G23" s="17">
        <v>50000</v>
      </c>
      <c r="H23" s="17">
        <v>50000</v>
      </c>
      <c r="I23" s="17">
        <f>Table8[[#This Row],[Total Fee]]-Table8[[#This Row],[Amount Paid]]</f>
        <v>0</v>
      </c>
      <c r="J23" s="6" t="str">
        <f>IF(Table8[[#This Row],[Amount Paid]]=0,"Unpaid",IF(Table8[[#This Row],[Amount Paid]]&lt;Table8[[#This Row],[Total Fee]],"Deposit","Paid"))</f>
        <v>Paid</v>
      </c>
    </row>
    <row r="24" spans="1:10" x14ac:dyDescent="0.3">
      <c r="A24" s="9">
        <v>23</v>
      </c>
      <c r="B24" s="11" t="s">
        <v>33</v>
      </c>
      <c r="C24" s="6" t="s">
        <v>10</v>
      </c>
      <c r="D24" s="6" t="s">
        <v>19</v>
      </c>
      <c r="E24" s="6" t="s">
        <v>12</v>
      </c>
      <c r="F24" s="6" t="s">
        <v>13</v>
      </c>
      <c r="G24" s="17">
        <v>15000</v>
      </c>
      <c r="H24" s="17">
        <v>50000</v>
      </c>
      <c r="I24" s="17">
        <f>Table8[[#This Row],[Total Fee]]-Table8[[#This Row],[Amount Paid]]</f>
        <v>35000</v>
      </c>
      <c r="J24" s="6" t="str">
        <f>IF(Table8[[#This Row],[Amount Paid]]=0,"Unpaid",IF(Table8[[#This Row],[Amount Paid]]&lt;Table8[[#This Row],[Total Fee]],"Deposit","Paid"))</f>
        <v>Deposit</v>
      </c>
    </row>
    <row r="25" spans="1:10" x14ac:dyDescent="0.3">
      <c r="A25" s="9">
        <v>24</v>
      </c>
      <c r="B25" s="11" t="s">
        <v>34</v>
      </c>
      <c r="C25" s="6" t="s">
        <v>16</v>
      </c>
      <c r="D25" s="6" t="s">
        <v>19</v>
      </c>
      <c r="E25" s="6" t="s">
        <v>12</v>
      </c>
      <c r="F25" s="6" t="s">
        <v>70</v>
      </c>
      <c r="G25" s="17">
        <v>50000</v>
      </c>
      <c r="H25" s="17">
        <v>50000</v>
      </c>
      <c r="I25" s="17">
        <f>Table8[[#This Row],[Total Fee]]-Table8[[#This Row],[Amount Paid]]</f>
        <v>0</v>
      </c>
      <c r="J25" s="6" t="str">
        <f>IF(Table8[[#This Row],[Amount Paid]]=0,"Unpaid",IF(Table8[[#This Row],[Amount Paid]]&lt;Table8[[#This Row],[Total Fee]],"Deposit","Paid"))</f>
        <v>Paid</v>
      </c>
    </row>
    <row r="26" spans="1:10" x14ac:dyDescent="0.3">
      <c r="A26" s="9">
        <v>25</v>
      </c>
      <c r="B26" s="11" t="s">
        <v>39</v>
      </c>
      <c r="C26" s="6" t="s">
        <v>10</v>
      </c>
      <c r="D26" s="6" t="s">
        <v>19</v>
      </c>
      <c r="E26" s="6" t="s">
        <v>12</v>
      </c>
      <c r="F26" s="6" t="s">
        <v>13</v>
      </c>
      <c r="G26" s="17">
        <v>50000</v>
      </c>
      <c r="H26" s="17">
        <v>50000</v>
      </c>
      <c r="I26" s="17">
        <f>Table8[[#This Row],[Total Fee]]-Table8[[#This Row],[Amount Paid]]</f>
        <v>0</v>
      </c>
      <c r="J26" s="6" t="str">
        <f>IF(Table8[[#This Row],[Amount Paid]]=0,"Unpaid",IF(Table8[[#This Row],[Amount Paid]]&lt;Table8[[#This Row],[Total Fee]],"Deposit","Paid"))</f>
        <v>Paid</v>
      </c>
    </row>
    <row r="27" spans="1:10" x14ac:dyDescent="0.3">
      <c r="A27" s="9">
        <v>26</v>
      </c>
      <c r="B27" s="11" t="s">
        <v>40</v>
      </c>
      <c r="C27" s="6" t="s">
        <v>16</v>
      </c>
      <c r="D27" s="6" t="s">
        <v>19</v>
      </c>
      <c r="E27" s="6" t="s">
        <v>12</v>
      </c>
      <c r="F27" s="6" t="s">
        <v>70</v>
      </c>
      <c r="G27" s="17">
        <v>20000</v>
      </c>
      <c r="H27" s="17">
        <v>50000</v>
      </c>
      <c r="I27" s="17">
        <f>Table8[[#This Row],[Total Fee]]-Table8[[#This Row],[Amount Paid]]</f>
        <v>30000</v>
      </c>
      <c r="J27" s="6" t="str">
        <f>IF(Table8[[#This Row],[Amount Paid]]=0,"Unpaid",IF(Table8[[#This Row],[Amount Paid]]&lt;Table8[[#This Row],[Total Fee]],"Deposit","Paid"))</f>
        <v>Deposit</v>
      </c>
    </row>
    <row r="28" spans="1:10" x14ac:dyDescent="0.3">
      <c r="A28" s="9">
        <v>27</v>
      </c>
      <c r="B28" s="11" t="s">
        <v>45</v>
      </c>
      <c r="C28" s="6" t="s">
        <v>10</v>
      </c>
      <c r="D28" s="6" t="s">
        <v>19</v>
      </c>
      <c r="E28" s="6" t="s">
        <v>12</v>
      </c>
      <c r="F28" s="6" t="s">
        <v>13</v>
      </c>
      <c r="G28" s="17">
        <v>50000</v>
      </c>
      <c r="H28" s="17">
        <v>50000</v>
      </c>
      <c r="I28" s="17">
        <f>Table8[[#This Row],[Total Fee]]-Table8[[#This Row],[Amount Paid]]</f>
        <v>0</v>
      </c>
      <c r="J28" s="6" t="str">
        <f>IF(Table8[[#This Row],[Amount Paid]]=0,"Unpaid",IF(Table8[[#This Row],[Amount Paid]]&lt;Table8[[#This Row],[Total Fee]],"Deposit","Paid"))</f>
        <v>Paid</v>
      </c>
    </row>
    <row r="29" spans="1:10" x14ac:dyDescent="0.3">
      <c r="A29" s="9">
        <v>28</v>
      </c>
      <c r="B29" s="11" t="s">
        <v>46</v>
      </c>
      <c r="C29" s="6" t="s">
        <v>16</v>
      </c>
      <c r="D29" s="6" t="s">
        <v>19</v>
      </c>
      <c r="E29" s="6" t="s">
        <v>12</v>
      </c>
      <c r="F29" s="6" t="s">
        <v>13</v>
      </c>
      <c r="G29" s="17">
        <v>50000</v>
      </c>
      <c r="H29" s="17">
        <v>50000</v>
      </c>
      <c r="I29" s="17">
        <f>Table8[[#This Row],[Total Fee]]-Table8[[#This Row],[Amount Paid]]</f>
        <v>0</v>
      </c>
      <c r="J29" s="6" t="str">
        <f>IF(Table8[[#This Row],[Amount Paid]]=0,"Unpaid",IF(Table8[[#This Row],[Amount Paid]]&lt;Table8[[#This Row],[Total Fee]],"Deposit","Paid"))</f>
        <v>Paid</v>
      </c>
    </row>
    <row r="30" spans="1:10" x14ac:dyDescent="0.3">
      <c r="A30" s="9">
        <v>29</v>
      </c>
      <c r="B30" s="11" t="s">
        <v>51</v>
      </c>
      <c r="C30" s="6" t="s">
        <v>10</v>
      </c>
      <c r="D30" s="6" t="s">
        <v>19</v>
      </c>
      <c r="E30" s="6" t="s">
        <v>12</v>
      </c>
      <c r="F30" s="6" t="s">
        <v>70</v>
      </c>
      <c r="G30" s="17">
        <v>25000</v>
      </c>
      <c r="H30" s="17">
        <v>50000</v>
      </c>
      <c r="I30" s="17">
        <f>Table8[[#This Row],[Total Fee]]-Table8[[#This Row],[Amount Paid]]</f>
        <v>25000</v>
      </c>
      <c r="J30" s="6" t="str">
        <f>IF(Table8[[#This Row],[Amount Paid]]=0,"Unpaid",IF(Table8[[#This Row],[Amount Paid]]&lt;Table8[[#This Row],[Total Fee]],"Deposit","Paid"))</f>
        <v>Deposit</v>
      </c>
    </row>
    <row r="31" spans="1:10" x14ac:dyDescent="0.3">
      <c r="A31" s="9">
        <v>30</v>
      </c>
      <c r="B31" s="11" t="s">
        <v>52</v>
      </c>
      <c r="C31" s="6" t="s">
        <v>16</v>
      </c>
      <c r="D31" s="6" t="s">
        <v>19</v>
      </c>
      <c r="E31" s="6" t="s">
        <v>12</v>
      </c>
      <c r="F31" s="6" t="s">
        <v>13</v>
      </c>
      <c r="G31" s="17">
        <v>50000</v>
      </c>
      <c r="H31" s="17">
        <v>50000</v>
      </c>
      <c r="I31" s="17">
        <f>Table8[[#This Row],[Total Fee]]-Table8[[#This Row],[Amount Paid]]</f>
        <v>0</v>
      </c>
      <c r="J31" s="6" t="str">
        <f>IF(Table8[[#This Row],[Amount Paid]]=0,"Unpaid",IF(Table8[[#This Row],[Amount Paid]]&lt;Table8[[#This Row],[Total Fee]],"Deposit","Paid"))</f>
        <v>Paid</v>
      </c>
    </row>
    <row r="32" spans="1:10" x14ac:dyDescent="0.3">
      <c r="A32" s="9">
        <v>31</v>
      </c>
      <c r="B32" s="11" t="s">
        <v>57</v>
      </c>
      <c r="C32" s="6" t="s">
        <v>10</v>
      </c>
      <c r="D32" s="6" t="s">
        <v>19</v>
      </c>
      <c r="E32" s="6" t="s">
        <v>12</v>
      </c>
      <c r="F32" s="6" t="s">
        <v>13</v>
      </c>
      <c r="G32" s="17">
        <v>50000</v>
      </c>
      <c r="H32" s="17">
        <v>50000</v>
      </c>
      <c r="I32" s="17">
        <f>Table8[[#This Row],[Total Fee]]-Table8[[#This Row],[Amount Paid]]</f>
        <v>0</v>
      </c>
      <c r="J32" s="6" t="str">
        <f>IF(Table8[[#This Row],[Amount Paid]]=0,"Unpaid",IF(Table8[[#This Row],[Amount Paid]]&lt;Table8[[#This Row],[Total Fee]],"Deposit","Paid"))</f>
        <v>Paid</v>
      </c>
    </row>
    <row r="33" spans="1:10" x14ac:dyDescent="0.3">
      <c r="A33" s="9">
        <v>32</v>
      </c>
      <c r="B33" s="11" t="s">
        <v>58</v>
      </c>
      <c r="C33" s="6" t="s">
        <v>16</v>
      </c>
      <c r="D33" s="6" t="s">
        <v>19</v>
      </c>
      <c r="E33" s="6" t="s">
        <v>12</v>
      </c>
      <c r="F33" s="6" t="s">
        <v>70</v>
      </c>
      <c r="G33" s="17">
        <v>50000</v>
      </c>
      <c r="H33" s="17">
        <v>50000</v>
      </c>
      <c r="I33" s="17">
        <f>Table8[[#This Row],[Total Fee]]-Table8[[#This Row],[Amount Paid]]</f>
        <v>0</v>
      </c>
      <c r="J33" s="6" t="str">
        <f>IF(Table8[[#This Row],[Amount Paid]]=0,"Unpaid",IF(Table8[[#This Row],[Amount Paid]]&lt;Table8[[#This Row],[Total Fee]],"Deposit","Paid"))</f>
        <v>Paid</v>
      </c>
    </row>
    <row r="34" spans="1:10" x14ac:dyDescent="0.3">
      <c r="A34" s="9">
        <v>33</v>
      </c>
      <c r="B34" s="11" t="s">
        <v>63</v>
      </c>
      <c r="C34" s="6" t="s">
        <v>10</v>
      </c>
      <c r="D34" s="6" t="s">
        <v>19</v>
      </c>
      <c r="E34" s="6" t="s">
        <v>12</v>
      </c>
      <c r="F34" s="6" t="s">
        <v>70</v>
      </c>
      <c r="G34" s="17">
        <v>50000</v>
      </c>
      <c r="H34" s="17">
        <v>50000</v>
      </c>
      <c r="I34" s="17">
        <f>Table8[[#This Row],[Total Fee]]-Table8[[#This Row],[Amount Paid]]</f>
        <v>0</v>
      </c>
      <c r="J34" s="6" t="str">
        <f>IF(Table8[[#This Row],[Amount Paid]]=0,"Unpaid",IF(Table8[[#This Row],[Amount Paid]]&lt;Table8[[#This Row],[Total Fee]],"Deposit","Paid"))</f>
        <v>Paid</v>
      </c>
    </row>
    <row r="35" spans="1:10" x14ac:dyDescent="0.3">
      <c r="A35" s="9">
        <v>34</v>
      </c>
      <c r="B35" s="11" t="s">
        <v>64</v>
      </c>
      <c r="C35" s="6" t="s">
        <v>16</v>
      </c>
      <c r="D35" s="6" t="s">
        <v>19</v>
      </c>
      <c r="E35" s="6" t="s">
        <v>12</v>
      </c>
      <c r="F35" s="6" t="s">
        <v>13</v>
      </c>
      <c r="G35" s="17">
        <v>25000</v>
      </c>
      <c r="H35" s="17">
        <v>50000</v>
      </c>
      <c r="I35" s="17">
        <f>Table8[[#This Row],[Total Fee]]-Table8[[#This Row],[Amount Paid]]</f>
        <v>25000</v>
      </c>
      <c r="J35" s="6" t="str">
        <f>IF(Table8[[#This Row],[Amount Paid]]=0,"Unpaid",IF(Table8[[#This Row],[Amount Paid]]&lt;Table8[[#This Row],[Total Fee]],"Deposit","Paid"))</f>
        <v>Deposit</v>
      </c>
    </row>
    <row r="36" spans="1:10" x14ac:dyDescent="0.3">
      <c r="A36" s="9">
        <v>35</v>
      </c>
      <c r="B36" s="11" t="s">
        <v>22</v>
      </c>
      <c r="C36" s="6" t="s">
        <v>10</v>
      </c>
      <c r="D36" s="6" t="s">
        <v>23</v>
      </c>
      <c r="E36" s="6" t="s">
        <v>12</v>
      </c>
      <c r="F36" s="6" t="s">
        <v>13</v>
      </c>
      <c r="G36" s="17">
        <v>25000</v>
      </c>
      <c r="H36" s="17">
        <v>50000</v>
      </c>
      <c r="I36" s="17">
        <f>Table8[[#This Row],[Total Fee]]-Table8[[#This Row],[Amount Paid]]</f>
        <v>25000</v>
      </c>
      <c r="J36" s="6" t="str">
        <f>IF(Table8[[#This Row],[Amount Paid]]=0,"Unpaid",IF(Table8[[#This Row],[Amount Paid]]&lt;Table8[[#This Row],[Total Fee]],"Deposit","Paid"))</f>
        <v>Deposit</v>
      </c>
    </row>
    <row r="37" spans="1:10" x14ac:dyDescent="0.3">
      <c r="A37" s="9">
        <v>36</v>
      </c>
      <c r="B37" s="11" t="s">
        <v>24</v>
      </c>
      <c r="C37" s="6" t="s">
        <v>16</v>
      </c>
      <c r="D37" s="6" t="s">
        <v>23</v>
      </c>
      <c r="E37" s="6" t="s">
        <v>12</v>
      </c>
      <c r="F37" s="6" t="s">
        <v>13</v>
      </c>
      <c r="G37" s="17">
        <v>50000</v>
      </c>
      <c r="H37" s="17">
        <v>50000</v>
      </c>
      <c r="I37" s="17">
        <f>Table8[[#This Row],[Total Fee]]-Table8[[#This Row],[Amount Paid]]</f>
        <v>0</v>
      </c>
      <c r="J37" s="6" t="str">
        <f>IF(Table8[[#This Row],[Amount Paid]]=0,"Unpaid",IF(Table8[[#This Row],[Amount Paid]]&lt;Table8[[#This Row],[Total Fee]],"Deposit","Paid"))</f>
        <v>Paid</v>
      </c>
    </row>
    <row r="38" spans="1:10" x14ac:dyDescent="0.3">
      <c r="A38" s="9">
        <v>37</v>
      </c>
      <c r="B38" s="11" t="s">
        <v>29</v>
      </c>
      <c r="C38" s="6" t="s">
        <v>10</v>
      </c>
      <c r="D38" s="6" t="s">
        <v>23</v>
      </c>
      <c r="E38" s="6" t="s">
        <v>12</v>
      </c>
      <c r="F38" s="6" t="s">
        <v>13</v>
      </c>
      <c r="G38" s="17">
        <v>50000</v>
      </c>
      <c r="H38" s="17">
        <v>50000</v>
      </c>
      <c r="I38" s="17">
        <f>Table8[[#This Row],[Total Fee]]-Table8[[#This Row],[Amount Paid]]</f>
        <v>0</v>
      </c>
      <c r="J38" s="6" t="str">
        <f>IF(Table8[[#This Row],[Amount Paid]]=0,"Unpaid",IF(Table8[[#This Row],[Amount Paid]]&lt;Table8[[#This Row],[Total Fee]],"Deposit","Paid"))</f>
        <v>Paid</v>
      </c>
    </row>
    <row r="39" spans="1:10" x14ac:dyDescent="0.3">
      <c r="A39" s="9">
        <v>38</v>
      </c>
      <c r="B39" s="11" t="s">
        <v>30</v>
      </c>
      <c r="C39" s="6" t="s">
        <v>16</v>
      </c>
      <c r="D39" s="6" t="s">
        <v>23</v>
      </c>
      <c r="E39" s="6" t="s">
        <v>12</v>
      </c>
      <c r="F39" s="6" t="s">
        <v>13</v>
      </c>
      <c r="G39" s="17">
        <v>20000</v>
      </c>
      <c r="H39" s="17">
        <v>50000</v>
      </c>
      <c r="I39" s="17">
        <f>Table8[[#This Row],[Total Fee]]-Table8[[#This Row],[Amount Paid]]</f>
        <v>30000</v>
      </c>
      <c r="J39" s="6" t="str">
        <f>IF(Table8[[#This Row],[Amount Paid]]=0,"Unpaid",IF(Table8[[#This Row],[Amount Paid]]&lt;Table8[[#This Row],[Total Fee]],"Deposit","Paid"))</f>
        <v>Deposit</v>
      </c>
    </row>
    <row r="40" spans="1:10" x14ac:dyDescent="0.3">
      <c r="A40" s="9">
        <v>39</v>
      </c>
      <c r="B40" s="11" t="s">
        <v>35</v>
      </c>
      <c r="C40" s="6" t="s">
        <v>10</v>
      </c>
      <c r="D40" s="6" t="s">
        <v>23</v>
      </c>
      <c r="E40" s="6" t="s">
        <v>12</v>
      </c>
      <c r="F40" s="6" t="s">
        <v>13</v>
      </c>
      <c r="G40" s="17">
        <v>0</v>
      </c>
      <c r="H40" s="17">
        <v>50000</v>
      </c>
      <c r="I40" s="17">
        <f>Table8[[#This Row],[Total Fee]]-Table8[[#This Row],[Amount Paid]]</f>
        <v>50000</v>
      </c>
      <c r="J40" s="6" t="str">
        <f>IF(Table8[[#This Row],[Amount Paid]]=0,"Unpaid",IF(Table8[[#This Row],[Amount Paid]]&lt;Table8[[#This Row],[Total Fee]],"Deposit","Paid"))</f>
        <v>Unpaid</v>
      </c>
    </row>
    <row r="41" spans="1:10" x14ac:dyDescent="0.3">
      <c r="A41" s="9">
        <v>40</v>
      </c>
      <c r="B41" s="11" t="s">
        <v>36</v>
      </c>
      <c r="C41" s="6" t="s">
        <v>16</v>
      </c>
      <c r="D41" s="6" t="s">
        <v>23</v>
      </c>
      <c r="E41" s="6" t="s">
        <v>12</v>
      </c>
      <c r="F41" s="6" t="s">
        <v>70</v>
      </c>
      <c r="G41" s="17">
        <v>50000</v>
      </c>
      <c r="H41" s="17">
        <v>50000</v>
      </c>
      <c r="I41" s="17">
        <f>Table8[[#This Row],[Total Fee]]-Table8[[#This Row],[Amount Paid]]</f>
        <v>0</v>
      </c>
      <c r="J41" s="6" t="str">
        <f>IF(Table8[[#This Row],[Amount Paid]]=0,"Unpaid",IF(Table8[[#This Row],[Amount Paid]]&lt;Table8[[#This Row],[Total Fee]],"Deposit","Paid"))</f>
        <v>Paid</v>
      </c>
    </row>
    <row r="42" spans="1:10" x14ac:dyDescent="0.3">
      <c r="A42" s="9">
        <v>41</v>
      </c>
      <c r="B42" s="11" t="s">
        <v>41</v>
      </c>
      <c r="C42" s="6" t="s">
        <v>10</v>
      </c>
      <c r="D42" s="6" t="s">
        <v>23</v>
      </c>
      <c r="E42" s="6" t="s">
        <v>12</v>
      </c>
      <c r="F42" s="6" t="s">
        <v>13</v>
      </c>
      <c r="G42" s="17">
        <v>50000</v>
      </c>
      <c r="H42" s="17">
        <v>50000</v>
      </c>
      <c r="I42" s="17">
        <f>Table8[[#This Row],[Total Fee]]-Table8[[#This Row],[Amount Paid]]</f>
        <v>0</v>
      </c>
      <c r="J42" s="6" t="str">
        <f>IF(Table8[[#This Row],[Amount Paid]]=0,"Unpaid",IF(Table8[[#This Row],[Amount Paid]]&lt;Table8[[#This Row],[Total Fee]],"Deposit","Paid"))</f>
        <v>Paid</v>
      </c>
    </row>
    <row r="43" spans="1:10" x14ac:dyDescent="0.3">
      <c r="A43" s="9">
        <v>42</v>
      </c>
      <c r="B43" s="11" t="s">
        <v>42</v>
      </c>
      <c r="C43" s="6" t="s">
        <v>16</v>
      </c>
      <c r="D43" s="6" t="s">
        <v>23</v>
      </c>
      <c r="E43" s="6" t="s">
        <v>12</v>
      </c>
      <c r="F43" s="6" t="s">
        <v>70</v>
      </c>
      <c r="G43" s="17">
        <v>0</v>
      </c>
      <c r="H43" s="17">
        <v>50000</v>
      </c>
      <c r="I43" s="17">
        <f>Table8[[#This Row],[Total Fee]]-Table8[[#This Row],[Amount Paid]]</f>
        <v>50000</v>
      </c>
      <c r="J43" s="6" t="str">
        <f>IF(Table8[[#This Row],[Amount Paid]]=0,"Unpaid",IF(Table8[[#This Row],[Amount Paid]]&lt;Table8[[#This Row],[Total Fee]],"Deposit","Paid"))</f>
        <v>Unpaid</v>
      </c>
    </row>
    <row r="44" spans="1:10" x14ac:dyDescent="0.3">
      <c r="A44" s="9">
        <v>43</v>
      </c>
      <c r="B44" s="11" t="s">
        <v>47</v>
      </c>
      <c r="C44" s="6" t="s">
        <v>10</v>
      </c>
      <c r="D44" s="6" t="s">
        <v>23</v>
      </c>
      <c r="E44" s="6" t="s">
        <v>12</v>
      </c>
      <c r="F44" s="6" t="s">
        <v>70</v>
      </c>
      <c r="G44" s="17">
        <v>20000</v>
      </c>
      <c r="H44" s="17">
        <v>50000</v>
      </c>
      <c r="I44" s="17">
        <f>Table8[[#This Row],[Total Fee]]-Table8[[#This Row],[Amount Paid]]</f>
        <v>30000</v>
      </c>
      <c r="J44" s="6" t="str">
        <f>IF(Table8[[#This Row],[Amount Paid]]=0,"Unpaid",IF(Table8[[#This Row],[Amount Paid]]&lt;Table8[[#This Row],[Total Fee]],"Deposit","Paid"))</f>
        <v>Deposit</v>
      </c>
    </row>
    <row r="45" spans="1:10" x14ac:dyDescent="0.3">
      <c r="A45" s="9">
        <v>44</v>
      </c>
      <c r="B45" s="11" t="s">
        <v>48</v>
      </c>
      <c r="C45" s="6" t="s">
        <v>16</v>
      </c>
      <c r="D45" s="6" t="s">
        <v>23</v>
      </c>
      <c r="E45" s="6" t="s">
        <v>12</v>
      </c>
      <c r="F45" s="6" t="s">
        <v>13</v>
      </c>
      <c r="G45" s="17">
        <v>50000</v>
      </c>
      <c r="H45" s="17">
        <v>50000</v>
      </c>
      <c r="I45" s="17">
        <f>Table8[[#This Row],[Total Fee]]-Table8[[#This Row],[Amount Paid]]</f>
        <v>0</v>
      </c>
      <c r="J45" s="6" t="str">
        <f>IF(Table8[[#This Row],[Amount Paid]]=0,"Unpaid",IF(Table8[[#This Row],[Amount Paid]]&lt;Table8[[#This Row],[Total Fee]],"Deposit","Paid"))</f>
        <v>Paid</v>
      </c>
    </row>
    <row r="46" spans="1:10" x14ac:dyDescent="0.3">
      <c r="A46" s="9">
        <v>45</v>
      </c>
      <c r="B46" s="11" t="s">
        <v>53</v>
      </c>
      <c r="C46" s="6" t="s">
        <v>10</v>
      </c>
      <c r="D46" s="6" t="s">
        <v>23</v>
      </c>
      <c r="E46" s="6" t="s">
        <v>12</v>
      </c>
      <c r="F46" s="6" t="s">
        <v>13</v>
      </c>
      <c r="G46" s="17">
        <v>50000</v>
      </c>
      <c r="H46" s="17">
        <v>50000</v>
      </c>
      <c r="I46" s="17">
        <f>Table8[[#This Row],[Total Fee]]-Table8[[#This Row],[Amount Paid]]</f>
        <v>0</v>
      </c>
      <c r="J46" s="6" t="str">
        <f>IF(Table8[[#This Row],[Amount Paid]]=0,"Unpaid",IF(Table8[[#This Row],[Amount Paid]]&lt;Table8[[#This Row],[Total Fee]],"Deposit","Paid"))</f>
        <v>Paid</v>
      </c>
    </row>
    <row r="47" spans="1:10" x14ac:dyDescent="0.3">
      <c r="A47" s="9">
        <v>46</v>
      </c>
      <c r="B47" s="11" t="s">
        <v>54</v>
      </c>
      <c r="C47" s="6" t="s">
        <v>16</v>
      </c>
      <c r="D47" s="6" t="s">
        <v>23</v>
      </c>
      <c r="E47" s="6" t="s">
        <v>12</v>
      </c>
      <c r="F47" s="6" t="s">
        <v>70</v>
      </c>
      <c r="G47" s="17">
        <v>20000</v>
      </c>
      <c r="H47" s="17">
        <v>50000</v>
      </c>
      <c r="I47" s="17">
        <f>Table8[[#This Row],[Total Fee]]-Table8[[#This Row],[Amount Paid]]</f>
        <v>30000</v>
      </c>
      <c r="J47" s="6" t="str">
        <f>IF(Table8[[#This Row],[Amount Paid]]=0,"Unpaid",IF(Table8[[#This Row],[Amount Paid]]&lt;Table8[[#This Row],[Total Fee]],"Deposit","Paid"))</f>
        <v>Deposit</v>
      </c>
    </row>
    <row r="48" spans="1:10" x14ac:dyDescent="0.3">
      <c r="A48" s="9">
        <v>47</v>
      </c>
      <c r="B48" s="11" t="s">
        <v>59</v>
      </c>
      <c r="C48" s="6" t="s">
        <v>10</v>
      </c>
      <c r="D48" s="6" t="s">
        <v>23</v>
      </c>
      <c r="E48" s="6" t="s">
        <v>12</v>
      </c>
      <c r="F48" s="6" t="s">
        <v>13</v>
      </c>
      <c r="G48" s="17">
        <v>30000</v>
      </c>
      <c r="H48" s="17">
        <v>50000</v>
      </c>
      <c r="I48" s="17">
        <f>Table8[[#This Row],[Total Fee]]-Table8[[#This Row],[Amount Paid]]</f>
        <v>20000</v>
      </c>
      <c r="J48" s="6" t="str">
        <f>IF(Table8[[#This Row],[Amount Paid]]=0,"Unpaid",IF(Table8[[#This Row],[Amount Paid]]&lt;Table8[[#This Row],[Total Fee]],"Deposit","Paid"))</f>
        <v>Deposit</v>
      </c>
    </row>
    <row r="49" spans="1:10" x14ac:dyDescent="0.3">
      <c r="A49" s="9">
        <v>48</v>
      </c>
      <c r="B49" s="11" t="s">
        <v>60</v>
      </c>
      <c r="C49" s="6" t="s">
        <v>16</v>
      </c>
      <c r="D49" s="6" t="s">
        <v>23</v>
      </c>
      <c r="E49" s="6" t="s">
        <v>12</v>
      </c>
      <c r="F49" s="6" t="s">
        <v>13</v>
      </c>
      <c r="G49" s="17">
        <v>50000</v>
      </c>
      <c r="H49" s="17">
        <v>50000</v>
      </c>
      <c r="I49" s="17">
        <f>Table8[[#This Row],[Total Fee]]-Table8[[#This Row],[Amount Paid]]</f>
        <v>0</v>
      </c>
      <c r="J49" s="6" t="str">
        <f>IF(Table8[[#This Row],[Amount Paid]]=0,"Unpaid",IF(Table8[[#This Row],[Amount Paid]]&lt;Table8[[#This Row],[Total Fee]],"Deposit","Paid"))</f>
        <v>Paid</v>
      </c>
    </row>
    <row r="50" spans="1:10" x14ac:dyDescent="0.3">
      <c r="A50" s="9">
        <v>49</v>
      </c>
      <c r="B50" s="11" t="s">
        <v>65</v>
      </c>
      <c r="C50" s="6" t="s">
        <v>10</v>
      </c>
      <c r="D50" s="6" t="s">
        <v>23</v>
      </c>
      <c r="E50" s="6" t="s">
        <v>12</v>
      </c>
      <c r="F50" s="6" t="s">
        <v>70</v>
      </c>
      <c r="G50" s="17">
        <v>50000</v>
      </c>
      <c r="H50" s="17">
        <v>50000</v>
      </c>
      <c r="I50" s="17">
        <f>Table8[[#This Row],[Total Fee]]-Table8[[#This Row],[Amount Paid]]</f>
        <v>0</v>
      </c>
      <c r="J50" s="6" t="str">
        <f>IF(Table8[[#This Row],[Amount Paid]]=0,"Unpaid",IF(Table8[[#This Row],[Amount Paid]]&lt;Table8[[#This Row],[Total Fee]],"Deposit","Paid"))</f>
        <v>Paid</v>
      </c>
    </row>
    <row r="51" spans="1:10" x14ac:dyDescent="0.3">
      <c r="A51" s="9">
        <v>50</v>
      </c>
      <c r="B51" s="11" t="s">
        <v>66</v>
      </c>
      <c r="C51" s="6" t="s">
        <v>16</v>
      </c>
      <c r="D51" s="6" t="s">
        <v>23</v>
      </c>
      <c r="E51" s="6" t="s">
        <v>12</v>
      </c>
      <c r="F51" s="6" t="s">
        <v>13</v>
      </c>
      <c r="G51" s="17">
        <v>50000</v>
      </c>
      <c r="H51" s="17">
        <v>50000</v>
      </c>
      <c r="I51" s="17">
        <f>Table8[[#This Row],[Total Fee]]-Table8[[#This Row],[Amount Paid]]</f>
        <v>0</v>
      </c>
      <c r="J51" s="6" t="str">
        <f>IF(Table8[[#This Row],[Amount Paid]]=0,"Unpaid",IF(Table8[[#This Row],[Amount Paid]]&lt;Table8[[#This Row],[Total Fee]],"Deposit","Paid"))</f>
        <v>Paid</v>
      </c>
    </row>
  </sheetData>
  <conditionalFormatting sqref="J2:J51">
    <cfRule type="containsText" dxfId="18" priority="1" operator="containsText" text="Deposit">
      <formula>NOT(ISERROR(SEARCH("Deposit",J2)))</formula>
    </cfRule>
    <cfRule type="containsText" dxfId="17" priority="2" operator="containsText" text="Unpaid">
      <formula>NOT(ISERROR(SEARCH("Unpaid",J2)))</formula>
    </cfRule>
    <cfRule type="beginsWith" dxfId="16" priority="3" operator="beginsWith" text="Paid">
      <formula>LEFT(J2,LEN("Paid"))="Paid"</formula>
    </cfRule>
  </conditionalFormatting>
  <dataValidations count="5">
    <dataValidation type="list" allowBlank="1" showInputMessage="1" showErrorMessage="1" sqref="C1:C1048576" xr:uid="{51008076-9B4E-437B-B6E3-C83B1FD89FA9}">
      <formula1>"M,F"</formula1>
    </dataValidation>
    <dataValidation type="list" allowBlank="1" showInputMessage="1" showErrorMessage="1" sqref="D1:D1048576" xr:uid="{31A771F9-3903-4EB2-9EED-6B227D65F9EA}">
      <formula1>"SS1,SS2,SS3"</formula1>
    </dataValidation>
    <dataValidation type="list" allowBlank="1" showInputMessage="1" showErrorMessage="1" sqref="F1:F1048576" xr:uid="{2ECE8419-2F23-45AA-B176-E16E1B99C324}">
      <formula1>"First,Second"</formula1>
    </dataValidation>
    <dataValidation allowBlank="1" showInputMessage="1" showErrorMessage="1" promptTitle="Balance formula" prompt="=[@[Total Fee]]-[@[Amount Paid]] This formula subtracts Amount Paid from Total Fee to calculate the remaining balance automatically." sqref="I1" xr:uid="{8115696D-A776-4A79-BFF9-783AA59835D9}"/>
    <dataValidation allowBlank="1" showInputMessage="1" showErrorMessage="1" promptTitle="Fee Status Formula" prompt="=IF([@[Amount Paid]]=0,&quot;Unpaid&quot;,IF([@[Amount Paid]]&lt;[@[Total Fee]],&quot;Deposit&quot;,&quot;Paid&quot;)) This formula automatically determines the payment status based on the amount paid." sqref="J1" xr:uid="{838BBE17-94DF-4F6E-8BC0-2A9263BB1281}"/>
  </dataValidations>
  <pageMargins left="0.7" right="0.7" top="0.75" bottom="0.75" header="0.3" footer="0.3"/>
  <pageSetup orientation="portrait" r:id="rId1"/>
  <ignoredErrors>
    <ignoredError sqref="D1:D1048576 F1" listDataValidation="1"/>
  </ignoredErrors>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85ECB-69A3-422B-9B4C-AFCB60AC3645}">
  <dimension ref="A1:L28"/>
  <sheetViews>
    <sheetView workbookViewId="0">
      <selection activeCell="K17" sqref="K17"/>
    </sheetView>
  </sheetViews>
  <sheetFormatPr defaultRowHeight="14.4" x14ac:dyDescent="0.3"/>
  <cols>
    <col min="1" max="1" width="12.5546875" bestFit="1" customWidth="1"/>
    <col min="2" max="2" width="10.5546875" bestFit="1" customWidth="1"/>
    <col min="3" max="3" width="14.109375" bestFit="1" customWidth="1"/>
    <col min="4" max="4" width="12.5546875" bestFit="1" customWidth="1"/>
    <col min="5" max="5" width="10.5546875" bestFit="1" customWidth="1"/>
    <col min="7" max="7" width="12.5546875" bestFit="1" customWidth="1"/>
    <col min="8" max="8" width="10.5546875" bestFit="1" customWidth="1"/>
    <col min="10" max="10" width="12.5546875" bestFit="1" customWidth="1"/>
    <col min="11" max="11" width="18.6640625" bestFit="1" customWidth="1"/>
    <col min="12" max="12" width="14.109375" bestFit="1" customWidth="1"/>
  </cols>
  <sheetData>
    <row r="1" spans="1:12" x14ac:dyDescent="0.3">
      <c r="A1" s="20" t="s">
        <v>77</v>
      </c>
      <c r="B1" s="20"/>
      <c r="D1" s="20" t="s">
        <v>76</v>
      </c>
      <c r="E1" s="20"/>
      <c r="G1" s="20" t="s">
        <v>78</v>
      </c>
      <c r="H1" s="20"/>
    </row>
    <row r="2" spans="1:12" x14ac:dyDescent="0.3">
      <c r="A2" s="12" t="s">
        <v>71</v>
      </c>
      <c r="B2" t="s">
        <v>75</v>
      </c>
      <c r="D2" s="12" t="s">
        <v>71</v>
      </c>
      <c r="E2" t="s">
        <v>75</v>
      </c>
      <c r="G2" s="12" t="s">
        <v>71</v>
      </c>
      <c r="H2" t="s">
        <v>75</v>
      </c>
    </row>
    <row r="3" spans="1:12" x14ac:dyDescent="0.3">
      <c r="A3" s="3" t="s">
        <v>11</v>
      </c>
      <c r="B3" s="15">
        <v>18</v>
      </c>
      <c r="D3" s="3" t="s">
        <v>16</v>
      </c>
      <c r="E3" s="15">
        <v>25</v>
      </c>
      <c r="G3" s="3" t="s">
        <v>16</v>
      </c>
      <c r="H3" s="15">
        <v>25</v>
      </c>
    </row>
    <row r="4" spans="1:12" x14ac:dyDescent="0.3">
      <c r="A4" s="13" t="s">
        <v>16</v>
      </c>
      <c r="B4" s="15">
        <v>9</v>
      </c>
      <c r="D4" s="3" t="s">
        <v>10</v>
      </c>
      <c r="E4" s="15">
        <v>25</v>
      </c>
      <c r="G4" s="13" t="s">
        <v>17</v>
      </c>
      <c r="H4" s="15">
        <v>7</v>
      </c>
    </row>
    <row r="5" spans="1:12" x14ac:dyDescent="0.3">
      <c r="A5" s="13" t="s">
        <v>10</v>
      </c>
      <c r="B5" s="15">
        <v>9</v>
      </c>
      <c r="D5" s="3" t="s">
        <v>72</v>
      </c>
      <c r="E5" s="15">
        <v>50</v>
      </c>
      <c r="G5" s="14" t="s">
        <v>11</v>
      </c>
      <c r="H5" s="15">
        <v>3</v>
      </c>
    </row>
    <row r="6" spans="1:12" x14ac:dyDescent="0.3">
      <c r="A6" s="3" t="s">
        <v>19</v>
      </c>
      <c r="B6" s="15">
        <v>16</v>
      </c>
      <c r="G6" s="14" t="s">
        <v>19</v>
      </c>
      <c r="H6" s="15">
        <v>2</v>
      </c>
    </row>
    <row r="7" spans="1:12" x14ac:dyDescent="0.3">
      <c r="A7" s="13" t="s">
        <v>16</v>
      </c>
      <c r="B7" s="15">
        <v>8</v>
      </c>
      <c r="G7" s="14" t="s">
        <v>23</v>
      </c>
      <c r="H7" s="15">
        <v>2</v>
      </c>
    </row>
    <row r="8" spans="1:12" x14ac:dyDescent="0.3">
      <c r="A8" s="13" t="s">
        <v>10</v>
      </c>
      <c r="B8" s="15">
        <v>8</v>
      </c>
      <c r="G8" s="13" t="s">
        <v>14</v>
      </c>
      <c r="H8" s="15">
        <v>16</v>
      </c>
      <c r="J8" s="20" t="s">
        <v>79</v>
      </c>
      <c r="K8" s="20"/>
    </row>
    <row r="9" spans="1:12" x14ac:dyDescent="0.3">
      <c r="A9" s="3" t="s">
        <v>23</v>
      </c>
      <c r="B9" s="15">
        <v>16</v>
      </c>
      <c r="G9" s="14" t="s">
        <v>11</v>
      </c>
      <c r="H9" s="15">
        <v>5</v>
      </c>
      <c r="J9" s="12" t="s">
        <v>71</v>
      </c>
      <c r="K9" t="s">
        <v>73</v>
      </c>
      <c r="L9" t="s">
        <v>74</v>
      </c>
    </row>
    <row r="10" spans="1:12" x14ac:dyDescent="0.3">
      <c r="A10" s="13" t="s">
        <v>16</v>
      </c>
      <c r="B10" s="15">
        <v>8</v>
      </c>
      <c r="G10" s="14" t="s">
        <v>19</v>
      </c>
      <c r="H10" s="15">
        <v>6</v>
      </c>
      <c r="J10" s="3" t="s">
        <v>11</v>
      </c>
      <c r="K10" s="19">
        <v>642000</v>
      </c>
      <c r="L10" s="19">
        <v>258000</v>
      </c>
    </row>
    <row r="11" spans="1:12" x14ac:dyDescent="0.3">
      <c r="A11" s="13" t="s">
        <v>10</v>
      </c>
      <c r="B11" s="15">
        <v>8</v>
      </c>
      <c r="G11" s="14" t="s">
        <v>23</v>
      </c>
      <c r="H11" s="15">
        <v>5</v>
      </c>
      <c r="J11" s="3" t="s">
        <v>19</v>
      </c>
      <c r="K11" s="19">
        <v>615000</v>
      </c>
      <c r="L11" s="19">
        <v>185000</v>
      </c>
    </row>
    <row r="12" spans="1:12" x14ac:dyDescent="0.3">
      <c r="A12" s="3" t="s">
        <v>72</v>
      </c>
      <c r="B12" s="15">
        <v>50</v>
      </c>
      <c r="G12" s="13" t="s">
        <v>20</v>
      </c>
      <c r="H12" s="15">
        <v>2</v>
      </c>
      <c r="J12" s="3" t="s">
        <v>23</v>
      </c>
      <c r="K12" s="19">
        <v>565000</v>
      </c>
      <c r="L12" s="19">
        <v>235000</v>
      </c>
    </row>
    <row r="13" spans="1:12" x14ac:dyDescent="0.3">
      <c r="G13" s="14" t="s">
        <v>11</v>
      </c>
      <c r="H13" s="15">
        <v>1</v>
      </c>
      <c r="J13" s="3" t="s">
        <v>72</v>
      </c>
      <c r="K13" s="19">
        <v>1822000</v>
      </c>
      <c r="L13" s="19">
        <v>678000</v>
      </c>
    </row>
    <row r="14" spans="1:12" x14ac:dyDescent="0.3">
      <c r="G14" s="14" t="s">
        <v>23</v>
      </c>
      <c r="H14" s="15">
        <v>1</v>
      </c>
    </row>
    <row r="15" spans="1:12" x14ac:dyDescent="0.3">
      <c r="G15" s="3" t="s">
        <v>10</v>
      </c>
      <c r="H15" s="15">
        <v>25</v>
      </c>
    </row>
    <row r="16" spans="1:12" x14ac:dyDescent="0.3">
      <c r="G16" s="13" t="s">
        <v>17</v>
      </c>
      <c r="H16" s="15">
        <v>8</v>
      </c>
    </row>
    <row r="17" spans="7:8" x14ac:dyDescent="0.3">
      <c r="G17" s="14" t="s">
        <v>11</v>
      </c>
      <c r="H17" s="15">
        <v>2</v>
      </c>
    </row>
    <row r="18" spans="7:8" x14ac:dyDescent="0.3">
      <c r="G18" s="14" t="s">
        <v>19</v>
      </c>
      <c r="H18" s="15">
        <v>3</v>
      </c>
    </row>
    <row r="19" spans="7:8" x14ac:dyDescent="0.3">
      <c r="G19" s="14" t="s">
        <v>23</v>
      </c>
      <c r="H19" s="15">
        <v>3</v>
      </c>
    </row>
    <row r="20" spans="7:8" x14ac:dyDescent="0.3">
      <c r="G20" s="13" t="s">
        <v>14</v>
      </c>
      <c r="H20" s="15">
        <v>14</v>
      </c>
    </row>
    <row r="21" spans="7:8" x14ac:dyDescent="0.3">
      <c r="G21" s="14" t="s">
        <v>11</v>
      </c>
      <c r="H21" s="15">
        <v>6</v>
      </c>
    </row>
    <row r="22" spans="7:8" x14ac:dyDescent="0.3">
      <c r="G22" s="14" t="s">
        <v>19</v>
      </c>
      <c r="H22" s="15">
        <v>4</v>
      </c>
    </row>
    <row r="23" spans="7:8" x14ac:dyDescent="0.3">
      <c r="G23" s="14" t="s">
        <v>23</v>
      </c>
      <c r="H23" s="15">
        <v>4</v>
      </c>
    </row>
    <row r="24" spans="7:8" x14ac:dyDescent="0.3">
      <c r="G24" s="13" t="s">
        <v>20</v>
      </c>
      <c r="H24" s="15">
        <v>3</v>
      </c>
    </row>
    <row r="25" spans="7:8" x14ac:dyDescent="0.3">
      <c r="G25" s="14" t="s">
        <v>11</v>
      </c>
      <c r="H25" s="15">
        <v>1</v>
      </c>
    </row>
    <row r="26" spans="7:8" x14ac:dyDescent="0.3">
      <c r="G26" s="14" t="s">
        <v>19</v>
      </c>
      <c r="H26" s="15">
        <v>1</v>
      </c>
    </row>
    <row r="27" spans="7:8" x14ac:dyDescent="0.3">
      <c r="G27" s="14" t="s">
        <v>23</v>
      </c>
      <c r="H27" s="15">
        <v>1</v>
      </c>
    </row>
    <row r="28" spans="7:8" x14ac:dyDescent="0.3">
      <c r="G28" s="3" t="s">
        <v>72</v>
      </c>
      <c r="H28" s="15">
        <v>50</v>
      </c>
    </row>
  </sheetData>
  <mergeCells count="4">
    <mergeCell ref="A1:B1"/>
    <mergeCell ref="D1:E1"/>
    <mergeCell ref="G1:H1"/>
    <mergeCell ref="J8:K8"/>
  </mergeCells>
  <pageMargins left="0.7" right="0.7" top="0.75" bottom="0.75" header="0.3" footer="0.3"/>
  <pageSetup orientation="portrait"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67BF9-AB7C-4D2B-B441-127139318CB1}">
  <sheetPr codeName="Sheet5"/>
  <dimension ref="B3:G15"/>
  <sheetViews>
    <sheetView showGridLines="0" tabSelected="1" workbookViewId="0">
      <selection activeCell="U15" sqref="U15"/>
    </sheetView>
  </sheetViews>
  <sheetFormatPr defaultRowHeight="14.4" x14ac:dyDescent="0.3"/>
  <sheetData>
    <row r="3" spans="2:7" x14ac:dyDescent="0.3">
      <c r="C3" s="2"/>
      <c r="D3" s="2"/>
      <c r="E3" s="2"/>
      <c r="F3" s="2"/>
    </row>
    <row r="15" spans="2:7" x14ac:dyDescent="0.3">
      <c r="B15" s="2"/>
      <c r="C15" s="2"/>
      <c r="D15" s="2"/>
      <c r="E15" s="2"/>
      <c r="F15" s="2"/>
      <c r="G15" s="2"/>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373F94D-026B-4C1D-8A4C-7237E92BD9B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SS1</vt:lpstr>
      <vt:lpstr>SS2</vt:lpstr>
      <vt:lpstr>SS3</vt:lpstr>
      <vt:lpstr>Cleaned data</vt:lpstr>
      <vt:lpstr>Pivot Table</vt:lpstr>
      <vt:lpstr>School Fee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Onoruoyiza Sardauna</dc:creator>
  <cp:lastModifiedBy>Onoruoyiza Sardauna</cp:lastModifiedBy>
  <dcterms:created xsi:type="dcterms:W3CDTF">2026-03-08T20:48:24Z</dcterms:created>
  <dcterms:modified xsi:type="dcterms:W3CDTF">2026-03-17T23:09:06Z</dcterms:modified>
</cp:coreProperties>
</file>